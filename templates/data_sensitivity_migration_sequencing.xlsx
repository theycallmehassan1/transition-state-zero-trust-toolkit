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quencing" sheetId="2" state="visible" r:id="rId4"/>
    <sheet name="Sample" sheetId="3" state="visible" r:id="rId5"/>
    <sheet name="Transition ques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<sst xmlns="http://schemas.openxmlformats.org/spreadsheetml/2006/main" count="122" uniqueCount="98">
  <si>
    <t xml:space="preserve">Data Sensitivity and Migration Sequencing Worksheet</t>
  </si>
  <si>
    <t xml:space="preserve">Companion artifact to the Transition-State Zero Trust Adoption Toolkit, v0.1.</t>
  </si>
  <si>
    <t xml:space="preserve">What this is for</t>
  </si>
  <si>
    <t xml:space="preserve">Deciding the order in which workloads move, using sensitivity and operational readiness together rather than convenience or whoever asks loudest.</t>
  </si>
  <si>
    <t xml:space="preserve">What this is not</t>
  </si>
  <si>
    <t xml:space="preserve">It does not classify data. It assumes your organization already has an approved classification scheme and uses that label as an input. Formal classification, privacy, records management and legal review stay where they are.</t>
  </si>
  <si>
    <t xml:space="preserve">Sheets</t>
  </si>
  <si>
    <t xml:space="preserve">Sequencing            The working sheet. Shaded cells are yours to complete.</t>
  </si>
  <si>
    <t xml:space="preserve">Sample                Six worked workloads across four waves, plus one held back.</t>
  </si>
  <si>
    <t xml:space="preserve">Transition questions  Eight questions to answer per workload before sequencing it.</t>
  </si>
  <si>
    <t xml:space="preserve">Scoring</t>
  </si>
  <si>
    <t xml:space="preserve">Score identity, logging, backup / DR, mission criticality and dependency complexity from 1 to 5. Readiness is the average of identity, logging and backup, and calculates itself.</t>
  </si>
  <si>
    <t xml:space="preserve">Reading the result</t>
  </si>
  <si>
    <t xml:space="preserve">Low sensitivity with high readiness belongs early. High criticality with high dependency complexity belongs late. A workload with no rollback path belongs on hold until it has one.</t>
  </si>
  <si>
    <t xml:space="preserve">Sample values are constructed for illustration and are not from a real organization.</t>
  </si>
  <si>
    <t xml:space="preserve">Score each factor 1-5. Readiness averages identity, logging and backup. Use it with sensitivity, criticality and dependency complexity to place each workload in a wave.</t>
  </si>
  <si>
    <t xml:space="preserve">ID</t>
  </si>
  <si>
    <t xml:space="preserve">Workload</t>
  </si>
  <si>
    <t xml:space="preserve">Sensitivity</t>
  </si>
  <si>
    <t xml:space="preserve">Mission criticality</t>
  </si>
  <si>
    <t xml:space="preserve">Identity</t>
  </si>
  <si>
    <t xml:space="preserve">Logging</t>
  </si>
  <si>
    <t xml:space="preserve">Backup / DR</t>
  </si>
  <si>
    <t xml:space="preserve">Dependency complexity</t>
  </si>
  <si>
    <t xml:space="preserve">Readiness</t>
  </si>
  <si>
    <t xml:space="preserve">Proposed wave</t>
  </si>
  <si>
    <t xml:space="preserve">Rationale</t>
  </si>
  <si>
    <t xml:space="preserve">W-01</t>
  </si>
  <si>
    <t xml:space="preserve">Public website</t>
  </si>
  <si>
    <t xml:space="preserve">Public</t>
  </si>
  <si>
    <t xml:space="preserve">Wave 1</t>
  </si>
  <si>
    <t xml:space="preserve">Low sensitivity and high technical readiness. Good first wave to prove the process.</t>
  </si>
  <si>
    <t xml:space="preserve">&lt;- example row; overwrite or delete</t>
  </si>
  <si>
    <t xml:space="preserve">Summary</t>
  </si>
  <si>
    <t xml:space="preserve">Workloads listed</t>
  </si>
  <si>
    <t xml:space="preserve">Placed in wave 1</t>
  </si>
  <si>
    <t xml:space="preserve">On hold</t>
  </si>
  <si>
    <t xml:space="preserve">Average readiness</t>
  </si>
  <si>
    <t xml:space="preserve">Low readiness (below 3)</t>
  </si>
  <si>
    <t xml:space="preserve">This worksheet does not classify data. Use the sensitivity label your organization has already approved.</t>
  </si>
  <si>
    <t xml:space="preserve">Sample: county government workload sequencing</t>
  </si>
  <si>
    <t xml:space="preserve">Constructed for illustration; not results from a real organization.</t>
  </si>
  <si>
    <t xml:space="preserve">W-02</t>
  </si>
  <si>
    <t xml:space="preserve">Intranet document library</t>
  </si>
  <si>
    <t xml:space="preserve">Internal</t>
  </si>
  <si>
    <t xml:space="preserve">Straightforward identity path; few callers.</t>
  </si>
  <si>
    <t xml:space="preserve">W-03</t>
  </si>
  <si>
    <t xml:space="preserve">Permits system</t>
  </si>
  <si>
    <t xml:space="preserve">Wave 2</t>
  </si>
  <si>
    <t xml:space="preserve">Undocumented callers found in discovery; sequence after dependency mapping.</t>
  </si>
  <si>
    <t xml:space="preserve">W-04</t>
  </si>
  <si>
    <t xml:space="preserve">HR portal</t>
  </si>
  <si>
    <t xml:space="preserve">Restricted</t>
  </si>
  <si>
    <t xml:space="preserve">Wave 3</t>
  </si>
  <si>
    <t xml:space="preserve">Sensitive data plus a legacy identity dependency tracked as TSR-001.</t>
  </si>
  <si>
    <t xml:space="preserve">W-05</t>
  </si>
  <si>
    <t xml:space="preserve">Financial reporting DB</t>
  </si>
  <si>
    <t xml:space="preserve">Confidential</t>
  </si>
  <si>
    <t xml:space="preserve">Wave 4</t>
  </si>
  <si>
    <t xml:space="preserve">Mission critical with high dependency complexity. Move last, once the rest is stable.</t>
  </si>
  <si>
    <t xml:space="preserve">W-06</t>
  </si>
  <si>
    <t xml:space="preserve">Legacy API gateway</t>
  </si>
  <si>
    <t xml:space="preserve">Hold</t>
  </si>
  <si>
    <t xml:space="preserve">Unsupported client protocol and no rollback path. Not a migration candidate yet.</t>
  </si>
  <si>
    <t xml:space="preserve">Practical transition questions</t>
  </si>
  <si>
    <t xml:space="preserve">Work through these for each workload before assigning it to a wave.</t>
  </si>
  <si>
    <t xml:space="preserve">Area</t>
  </si>
  <si>
    <t xml:space="preserve">Question</t>
  </si>
  <si>
    <t xml:space="preserve">Why it matters</t>
  </si>
  <si>
    <t xml:space="preserve">Evidence example</t>
  </si>
  <si>
    <t xml:space="preserve">Data owner</t>
  </si>
  <si>
    <t xml:space="preserve">Who can approve movement of this data or workload?</t>
  </si>
  <si>
    <t xml:space="preserve">Prevents technical teams from making business-risk decisions alone.</t>
  </si>
  <si>
    <t xml:space="preserve">Named owner or approval ticket</t>
  </si>
  <si>
    <t xml:space="preserve">What is the approved sensitivity level?</t>
  </si>
  <si>
    <t xml:space="preserve">Affects sequencing, logging, encryption and test evidence.</t>
  </si>
  <si>
    <t xml:space="preserve">Classification label from the existing scheme</t>
  </si>
  <si>
    <t xml:space="preserve">Can the workload use enterprise identity and MFA now?</t>
  </si>
  <si>
    <t xml:space="preserve">Legacy authentication may require a temporary exception.</t>
  </si>
  <si>
    <t xml:space="preserve">SSO / MFA test result</t>
  </si>
  <si>
    <t xml:space="preserve">Will security-relevant activity remain visible after migration?</t>
  </si>
  <si>
    <t xml:space="preserve">Reduces blind spots during hybrid operation.</t>
  </si>
  <si>
    <t xml:space="preserve">SIEM source validation</t>
  </si>
  <si>
    <t xml:space="preserve">Can the workload be restored, and does policy survive failover?</t>
  </si>
  <si>
    <t xml:space="preserve">Recovery without security continuity is incomplete.</t>
  </si>
  <si>
    <t xml:space="preserve">Restore or failover test</t>
  </si>
  <si>
    <t xml:space="preserve">Dependencies</t>
  </si>
  <si>
    <t xml:space="preserve">What upstream and downstream services must remain reachable?</t>
  </si>
  <si>
    <t xml:space="preserve">Unknown dependencies break segmentation and cutover.</t>
  </si>
  <si>
    <t xml:space="preserve">Dependency map</t>
  </si>
  <si>
    <t xml:space="preserve">Rollback</t>
  </si>
  <si>
    <t xml:space="preserve">Can the team return safely to the prior state?</t>
  </si>
  <si>
    <t xml:space="preserve">Supports controlled migration waves.</t>
  </si>
  <si>
    <t xml:space="preserve">Approved rollback runbook</t>
  </si>
  <si>
    <t xml:space="preserve">Retirement</t>
  </si>
  <si>
    <t xml:space="preserve">What legacy path or control is removed after success?</t>
  </si>
  <si>
    <t xml:space="preserve">Prevents temporary risk becoming permanent.</t>
  </si>
  <si>
    <t xml:space="preserve">Retirement ticket</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</si>
</sst>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95959"/>
      <name val="Arial"/>
      <family val="0"/>
      <charset val="1"/>
    </font>
    <font>
      <sz val="10"/>
      <name val="Arial"/>
      <family val="0"/>
      <charset val="1"/>
    </font>
    <font>
      <b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44403C"/>
        <bgColor rgb="FF333300"/>
      </patternFill>
    </fill>
    <fill>
      <patternFill patternType="solid">
        <fgColor rgb="FFFFF8E1"/>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4440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8"/>
  </cols>
  <sheetData>
    <row r="1" customFormat="false" ht="16.15" hidden="false" customHeight="false" outlineLevel="0" collapsed="false">
      <c r="A1" s="1" t="s">
        <v>0</v>
      </c>
    </row>
    <row r="3" customFormat="false" ht="13.5" hidden="false" customHeight="true" outlineLevel="0" collapsed="false">
      <c r="A3" s="2" t="s">
        <v>1</v>
      </c>
    </row>
    <row r="4" customFormat="false" ht="13.5" hidden="false" customHeight="true" outlineLevel="0" collapsed="false">
      <c r="A4" s="3"/>
    </row>
    <row r="5" customFormat="false" ht="13.5" hidden="false" customHeight="true" outlineLevel="0" collapsed="false">
      <c r="A5" s="4" t="s">
        <v>2</v>
      </c>
    </row>
    <row r="6" customFormat="false" ht="25.5" hidden="false" customHeight="true" outlineLevel="0" collapsed="false">
      <c r="A6" s="3" t="s">
        <v>3</v>
      </c>
    </row>
    <row r="7" customFormat="false" ht="13.5" hidden="false" customHeight="true" outlineLevel="0" collapsed="false">
      <c r="A7" s="3"/>
    </row>
    <row r="8" customFormat="false" ht="13.5" hidden="false" customHeight="true" outlineLevel="0" collapsed="false">
      <c r="A8" s="4" t="s">
        <v>4</v>
      </c>
    </row>
    <row r="9" customFormat="false" ht="39" hidden="false" customHeight="true" outlineLevel="0" collapsed="false">
      <c r="A9" s="3" t="s">
        <v>5</v>
      </c>
    </row>
    <row r="10" customFormat="false" ht="13.5" hidden="false" customHeight="true" outlineLevel="0" collapsed="false">
      <c r="A10" s="3"/>
    </row>
    <row r="11" customFormat="false" ht="13.5" hidden="false" customHeight="true" outlineLevel="0" collapsed="false">
      <c r="A11" s="4" t="s">
        <v>6</v>
      </c>
    </row>
    <row r="12" customFormat="false" ht="13.5" hidden="false" customHeight="true" outlineLevel="0" collapsed="false">
      <c r="A12" s="3" t="s">
        <v>7</v>
      </c>
    </row>
    <row r="13" customFormat="false" ht="13.5" hidden="false" customHeight="true" outlineLevel="0" collapsed="false">
      <c r="A13" s="3" t="s">
        <v>8</v>
      </c>
    </row>
    <row r="14" customFormat="false" ht="13.5" hidden="false" customHeight="true" outlineLevel="0" collapsed="false">
      <c r="A14" s="3" t="s">
        <v>9</v>
      </c>
    </row>
    <row r="15" customFormat="false" ht="13.5" hidden="false" customHeight="true" outlineLevel="0" collapsed="false">
      <c r="A15" s="3"/>
    </row>
    <row r="16" customFormat="false" ht="13.5" hidden="false" customHeight="true" outlineLevel="0" collapsed="false">
      <c r="A16" s="4" t="s">
        <v>10</v>
      </c>
    </row>
    <row r="17" customFormat="false" ht="25.5" hidden="false" customHeight="true" outlineLevel="0" collapsed="false">
      <c r="A17" s="3" t="s">
        <v>11</v>
      </c>
    </row>
    <row r="18" customFormat="false" ht="13.5" hidden="false" customHeight="true" outlineLevel="0" collapsed="false">
      <c r="A18" s="3"/>
    </row>
    <row r="19" customFormat="false" ht="13.5" hidden="false" customHeight="true" outlineLevel="0" collapsed="false">
      <c r="A19" s="4" t="s">
        <v>12</v>
      </c>
    </row>
    <row r="20" customFormat="false" ht="25.5" hidden="false" customHeight="true" outlineLevel="0" collapsed="false">
      <c r="A20" s="3" t="s">
        <v>13</v>
      </c>
    </row>
    <row r="21" customFormat="false" ht="13.5" hidden="false" customHeight="true" outlineLevel="0" collapsed="false">
      <c r="A21" s="3"/>
    </row>
    <row r="22" customFormat="false" ht="13.5" hidden="false" customHeight="true" outlineLevel="0" collapsed="false">
      <c r="A22"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4"/>
    <col collapsed="false" customWidth="true" hidden="false" outlineLevel="0" max="4" min="4" style="0" width="12"/>
    <col collapsed="false" customWidth="true" hidden="false" outlineLevel="0" max="6" min="5" style="0" width="10"/>
    <col collapsed="false" customWidth="true" hidden="false" outlineLevel="0" max="7" min="7" style="0" width="11"/>
    <col collapsed="false" customWidth="true" hidden="false" outlineLevel="0" max="8" min="8" style="0" width="13"/>
    <col collapsed="false" customWidth="true" hidden="false" outlineLevel="0" max="9" min="9" style="0" width="11"/>
    <col collapsed="false" customWidth="true" hidden="false" outlineLevel="0" max="10" min="10" style="0" width="13"/>
    <col collapsed="false" customWidth="true" hidden="false" outlineLevel="0" max="11" min="11" style="0" width="46"/>
    <col collapsed="false" customWidth="true" hidden="false" outlineLevel="0" max="12" min="12" style="0" width="10"/>
  </cols>
  <sheetData>
    <row r="1" customFormat="false" ht="16.15" hidden="false" customHeight="false" outlineLevel="0" collapsed="false">
      <c r="A1" s="1" t="s">
        <v>0</v>
      </c>
    </row>
    <row r="2" customFormat="false" ht="15" hidden="false" customHeight="false" outlineLevel="0" collapsed="false">
      <c r="A2" s="5" t="s">
        <v>15</v>
      </c>
    </row>
    <row r="4" customFormat="false" ht="30" hidden="false" customHeight="true" outlineLevel="0" collapsed="false">
      <c r="A4" s="6" t="s">
        <v>16</v>
      </c>
      <c r="B4" s="6" t="s">
        <v>17</v>
      </c>
      <c r="C4" s="6" t="s">
        <v>18</v>
      </c>
      <c r="D4" s="6" t="s">
        <v>19</v>
      </c>
      <c r="E4" s="6" t="s">
        <v>20</v>
      </c>
      <c r="F4" s="6" t="s">
        <v>21</v>
      </c>
      <c r="G4" s="6" t="s">
        <v>22</v>
      </c>
      <c r="H4" s="6" t="s">
        <v>23</v>
      </c>
      <c r="I4" s="6" t="s">
        <v>24</v>
      </c>
      <c r="J4" s="6" t="s">
        <v>25</v>
      </c>
      <c r="K4" s="6" t="s">
        <v>26</v>
      </c>
    </row>
    <row r="5" customFormat="false" ht="23.85" hidden="false" customHeight="false" outlineLevel="0" collapsed="false">
      <c r="A5" s="7" t="s">
        <v>27</v>
      </c>
      <c r="B5" s="8" t="s">
        <v>28</v>
      </c>
      <c r="C5" s="7" t="s">
        <v>29</v>
      </c>
      <c r="D5" s="7" t="n">
        <v>3</v>
      </c>
      <c r="E5" s="7" t="n">
        <v>4</v>
      </c>
      <c r="F5" s="7" t="n">
        <v>4</v>
      </c>
      <c r="G5" s="7" t="n">
        <v>4</v>
      </c>
      <c r="H5" s="7" t="n">
        <v>2</v>
      </c>
      <c r="I5" s="9" t="n">
        <f aca="false">IFERROR(ROUND(AVERAGE(E5:G5),1),"")</f>
        <v>4</v>
      </c>
      <c r="J5" s="7" t="s">
        <v>30</v>
      </c>
      <c r="K5" s="8" t="s">
        <v>31</v>
      </c>
      <c r="L5" s="5" t="s">
        <v>32</v>
      </c>
    </row>
    <row r="6" customFormat="false" ht="15" hidden="false" customHeight="false" outlineLevel="0" collapsed="false">
      <c r="A6" s="7"/>
      <c r="B6" s="8"/>
      <c r="C6" s="7"/>
      <c r="D6" s="7"/>
      <c r="E6" s="7"/>
      <c r="F6" s="7"/>
      <c r="G6" s="7"/>
      <c r="H6" s="7"/>
      <c r="I6" s="9" t="str">
        <f aca="false">IFERROR(ROUND(AVERAGE(E6:G6),1),"")</f>
        <v/>
      </c>
      <c r="J6" s="7"/>
      <c r="K6" s="8"/>
    </row>
    <row r="7" customFormat="false" ht="15" hidden="false" customHeight="false" outlineLevel="0" collapsed="false">
      <c r="A7" s="7"/>
      <c r="B7" s="8"/>
      <c r="C7" s="7"/>
      <c r="D7" s="7"/>
      <c r="E7" s="7"/>
      <c r="F7" s="7"/>
      <c r="G7" s="7"/>
      <c r="H7" s="7"/>
      <c r="I7" s="9" t="str">
        <f aca="false">IFERROR(ROUND(AVERAGE(E7:G7),1),"")</f>
        <v/>
      </c>
      <c r="J7" s="7"/>
      <c r="K7" s="8"/>
    </row>
    <row r="8" customFormat="false" ht="15" hidden="false" customHeight="false" outlineLevel="0" collapsed="false">
      <c r="A8" s="7"/>
      <c r="B8" s="8"/>
      <c r="C8" s="7"/>
      <c r="D8" s="7"/>
      <c r="E8" s="7"/>
      <c r="F8" s="7"/>
      <c r="G8" s="7"/>
      <c r="H8" s="7"/>
      <c r="I8" s="9" t="str">
        <f aca="false">IFERROR(ROUND(AVERAGE(E8:G8),1),"")</f>
        <v/>
      </c>
      <c r="J8" s="7"/>
      <c r="K8" s="8"/>
    </row>
    <row r="9" customFormat="false" ht="15" hidden="false" customHeight="false" outlineLevel="0" collapsed="false">
      <c r="A9" s="7"/>
      <c r="B9" s="8"/>
      <c r="C9" s="7"/>
      <c r="D9" s="7"/>
      <c r="E9" s="7"/>
      <c r="F9" s="7"/>
      <c r="G9" s="7"/>
      <c r="H9" s="7"/>
      <c r="I9" s="9" t="str">
        <f aca="false">IFERROR(ROUND(AVERAGE(E9:G9),1),"")</f>
        <v/>
      </c>
      <c r="J9" s="7"/>
      <c r="K9" s="8"/>
    </row>
    <row r="10" customFormat="false" ht="15" hidden="false" customHeight="false" outlineLevel="0" collapsed="false">
      <c r="A10" s="7"/>
      <c r="B10" s="8"/>
      <c r="C10" s="7"/>
      <c r="D10" s="7"/>
      <c r="E10" s="7"/>
      <c r="F10" s="7"/>
      <c r="G10" s="7"/>
      <c r="H10" s="7"/>
      <c r="I10" s="9" t="str">
        <f aca="false">IFERROR(ROUND(AVERAGE(E10:G10),1),"")</f>
        <v/>
      </c>
      <c r="J10" s="7"/>
      <c r="K10" s="8"/>
    </row>
    <row r="11" customFormat="false" ht="15" hidden="false" customHeight="false" outlineLevel="0" collapsed="false">
      <c r="A11" s="7"/>
      <c r="B11" s="8"/>
      <c r="C11" s="7"/>
      <c r="D11" s="7"/>
      <c r="E11" s="7"/>
      <c r="F11" s="7"/>
      <c r="G11" s="7"/>
      <c r="H11" s="7"/>
      <c r="I11" s="9" t="str">
        <f aca="false">IFERROR(ROUND(AVERAGE(E11:G11),1),"")</f>
        <v/>
      </c>
      <c r="J11" s="7"/>
      <c r="K11" s="8"/>
    </row>
    <row r="12" customFormat="false" ht="15" hidden="false" customHeight="false" outlineLevel="0" collapsed="false">
      <c r="A12" s="7"/>
      <c r="B12" s="8"/>
      <c r="C12" s="7"/>
      <c r="D12" s="7"/>
      <c r="E12" s="7"/>
      <c r="F12" s="7"/>
      <c r="G12" s="7"/>
      <c r="H12" s="7"/>
      <c r="I12" s="9" t="str">
        <f aca="false">IFERROR(ROUND(AVERAGE(E12:G12),1),"")</f>
        <v/>
      </c>
      <c r="J12" s="7"/>
      <c r="K12" s="8"/>
    </row>
    <row r="13" customFormat="false" ht="15" hidden="false" customHeight="false" outlineLevel="0" collapsed="false">
      <c r="A13" s="7"/>
      <c r="B13" s="8"/>
      <c r="C13" s="7"/>
      <c r="D13" s="7"/>
      <c r="E13" s="7"/>
      <c r="F13" s="7"/>
      <c r="G13" s="7"/>
      <c r="H13" s="7"/>
      <c r="I13" s="9" t="str">
        <f aca="false">IFERROR(ROUND(AVERAGE(E13:G13),1),"")</f>
        <v/>
      </c>
      <c r="J13" s="7"/>
      <c r="K13" s="8"/>
    </row>
    <row r="14" customFormat="false" ht="15" hidden="false" customHeight="false" outlineLevel="0" collapsed="false">
      <c r="A14" s="7"/>
      <c r="B14" s="8"/>
      <c r="C14" s="7"/>
      <c r="D14" s="7"/>
      <c r="E14" s="7"/>
      <c r="F14" s="7"/>
      <c r="G14" s="7"/>
      <c r="H14" s="7"/>
      <c r="I14" s="9" t="str">
        <f aca="false">IFERROR(ROUND(AVERAGE(E14:G14),1),"")</f>
        <v/>
      </c>
      <c r="J14" s="7"/>
      <c r="K14" s="8"/>
    </row>
    <row r="15" customFormat="false" ht="15" hidden="false" customHeight="false" outlineLevel="0" collapsed="false">
      <c r="A15" s="7"/>
      <c r="B15" s="8"/>
      <c r="C15" s="7"/>
      <c r="D15" s="7"/>
      <c r="E15" s="7"/>
      <c r="F15" s="7"/>
      <c r="G15" s="7"/>
      <c r="H15" s="7"/>
      <c r="I15" s="9" t="str">
        <f aca="false">IFERROR(ROUND(AVERAGE(E15:G15),1),"")</f>
        <v/>
      </c>
      <c r="J15" s="7"/>
      <c r="K15" s="8"/>
    </row>
    <row r="16" customFormat="false" ht="15" hidden="false" customHeight="false" outlineLevel="0" collapsed="false">
      <c r="A16" s="7"/>
      <c r="B16" s="8"/>
      <c r="C16" s="7"/>
      <c r="D16" s="7"/>
      <c r="E16" s="7"/>
      <c r="F16" s="7"/>
      <c r="G16" s="7"/>
      <c r="H16" s="7"/>
      <c r="I16" s="9" t="str">
        <f aca="false">IFERROR(ROUND(AVERAGE(E16:G16),1),"")</f>
        <v/>
      </c>
      <c r="J16" s="7"/>
      <c r="K16" s="8"/>
    </row>
    <row r="17" customFormat="false" ht="15" hidden="false" customHeight="false" outlineLevel="0" collapsed="false">
      <c r="A17" s="7"/>
      <c r="B17" s="8"/>
      <c r="C17" s="7"/>
      <c r="D17" s="7"/>
      <c r="E17" s="7"/>
      <c r="F17" s="7"/>
      <c r="G17" s="7"/>
      <c r="H17" s="7"/>
      <c r="I17" s="9" t="str">
        <f aca="false">IFERROR(ROUND(AVERAGE(E17:G17),1),"")</f>
        <v/>
      </c>
      <c r="J17" s="7"/>
      <c r="K17" s="8"/>
    </row>
    <row r="18" customFormat="false" ht="15" hidden="false" customHeight="false" outlineLevel="0" collapsed="false">
      <c r="A18" s="7"/>
      <c r="B18" s="8"/>
      <c r="C18" s="7"/>
      <c r="D18" s="7"/>
      <c r="E18" s="7"/>
      <c r="F18" s="7"/>
      <c r="G18" s="7"/>
      <c r="H18" s="7"/>
      <c r="I18" s="9" t="str">
        <f aca="false">IFERROR(ROUND(AVERAGE(E18:G18),1),"")</f>
        <v/>
      </c>
      <c r="J18" s="7"/>
      <c r="K18" s="8"/>
    </row>
    <row r="19" customFormat="false" ht="15" hidden="false" customHeight="false" outlineLevel="0" collapsed="false">
      <c r="A19" s="7"/>
      <c r="B19" s="8"/>
      <c r="C19" s="7"/>
      <c r="D19" s="7"/>
      <c r="E19" s="7"/>
      <c r="F19" s="7"/>
      <c r="G19" s="7"/>
      <c r="H19" s="7"/>
      <c r="I19" s="9" t="str">
        <f aca="false">IFERROR(ROUND(AVERAGE(E19:G19),1),"")</f>
        <v/>
      </c>
      <c r="J19" s="7"/>
      <c r="K19" s="8"/>
    </row>
    <row r="20" customFormat="false" ht="15" hidden="false" customHeight="false" outlineLevel="0" collapsed="false">
      <c r="A20" s="7"/>
      <c r="B20" s="8"/>
      <c r="C20" s="7"/>
      <c r="D20" s="7"/>
      <c r="E20" s="7"/>
      <c r="F20" s="7"/>
      <c r="G20" s="7"/>
      <c r="H20" s="7"/>
      <c r="I20" s="9" t="str">
        <f aca="false">IFERROR(ROUND(AVERAGE(E20:G20),1),"")</f>
        <v/>
      </c>
      <c r="J20" s="7"/>
      <c r="K20" s="8"/>
    </row>
    <row r="22" customFormat="false" ht="15" hidden="false" customHeight="false" outlineLevel="0" collapsed="false">
      <c r="A22" s="10" t="s">
        <v>33</v>
      </c>
    </row>
    <row r="23" customFormat="false" ht="15" hidden="false" customHeight="false" outlineLevel="0" collapsed="false">
      <c r="A23" s="11" t="s">
        <v>34</v>
      </c>
      <c r="B23" s="12" t="n">
        <f aca="false">COUNTA(B5:B20)</f>
        <v>1</v>
      </c>
    </row>
    <row r="24" customFormat="false" ht="15" hidden="false" customHeight="false" outlineLevel="0" collapsed="false">
      <c r="A24" s="11" t="s">
        <v>35</v>
      </c>
      <c r="B24" s="12" t="n">
        <f aca="false">COUNTIF(J5:J20,"Wave 1")</f>
        <v>1</v>
      </c>
    </row>
    <row r="25" customFormat="false" ht="15" hidden="false" customHeight="false" outlineLevel="0" collapsed="false">
      <c r="A25" s="11" t="s">
        <v>36</v>
      </c>
      <c r="B25" s="12" t="n">
        <f aca="false">COUNTIF(J5:J20,"Hold")</f>
        <v>0</v>
      </c>
    </row>
    <row r="26" customFormat="false" ht="15" hidden="false" customHeight="false" outlineLevel="0" collapsed="false">
      <c r="A26" s="11" t="s">
        <v>37</v>
      </c>
      <c r="B26" s="12" t="n">
        <f aca="false">IFERROR(ROUND(AVERAGE(I5:I20),1),"")</f>
        <v>4</v>
      </c>
    </row>
    <row r="27" customFormat="false" ht="15" hidden="false" customHeight="false" outlineLevel="0" collapsed="false">
      <c r="A27" s="11" t="s">
        <v>38</v>
      </c>
      <c r="B27" s="12" t="n">
        <f aca="false">COUNTIFS(I5:I20,"&lt;3",I5:I20,"&lt;&gt;")</f>
        <v>0</v>
      </c>
    </row>
    <row r="29" customFormat="false" ht="15" hidden="false" customHeight="false" outlineLevel="0" collapsed="false">
      <c r="A29" s="5"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4"/>
    <col collapsed="false" customWidth="true" hidden="false" outlineLevel="0" max="4" min="4" style="0" width="12"/>
    <col collapsed="false" customWidth="true" hidden="false" outlineLevel="0" max="6" min="5" style="0" width="10"/>
    <col collapsed="false" customWidth="true" hidden="false" outlineLevel="0" max="7" min="7" style="0" width="11"/>
    <col collapsed="false" customWidth="true" hidden="false" outlineLevel="0" max="8" min="8" style="0" width="13"/>
    <col collapsed="false" customWidth="true" hidden="false" outlineLevel="0" max="9" min="9" style="0" width="11"/>
    <col collapsed="false" customWidth="true" hidden="false" outlineLevel="0" max="10" min="10" style="0" width="13"/>
    <col collapsed="false" customWidth="true" hidden="false" outlineLevel="0" max="11" min="11" style="0" width="46"/>
    <col collapsed="false" customWidth="true" hidden="false" outlineLevel="0" max="12" min="12" style="0" width="10"/>
  </cols>
  <sheetData>
    <row r="1" customFormat="false" ht="16.15" hidden="false" customHeight="false" outlineLevel="0" collapsed="false">
      <c r="A1" s="1" t="s">
        <v>40</v>
      </c>
    </row>
    <row r="2" customFormat="false" ht="15" hidden="false" customHeight="false" outlineLevel="0" collapsed="false">
      <c r="A2" s="5" t="s">
        <v>41</v>
      </c>
    </row>
    <row r="4" customFormat="false" ht="30" hidden="false" customHeight="true" outlineLevel="0" collapsed="false">
      <c r="A4" s="6" t="s">
        <v>16</v>
      </c>
      <c r="B4" s="6" t="s">
        <v>17</v>
      </c>
      <c r="C4" s="6" t="s">
        <v>18</v>
      </c>
      <c r="D4" s="6" t="s">
        <v>19</v>
      </c>
      <c r="E4" s="6" t="s">
        <v>20</v>
      </c>
      <c r="F4" s="6" t="s">
        <v>21</v>
      </c>
      <c r="G4" s="6" t="s">
        <v>22</v>
      </c>
      <c r="H4" s="6" t="s">
        <v>23</v>
      </c>
      <c r="I4" s="6" t="s">
        <v>24</v>
      </c>
      <c r="J4" s="6" t="s">
        <v>25</v>
      </c>
      <c r="K4" s="6" t="s">
        <v>26</v>
      </c>
    </row>
    <row r="5" customFormat="false" ht="23.85" hidden="false" customHeight="false" outlineLevel="0" collapsed="false">
      <c r="A5" s="9" t="s">
        <v>27</v>
      </c>
      <c r="B5" s="13" t="s">
        <v>28</v>
      </c>
      <c r="C5" s="9" t="s">
        <v>29</v>
      </c>
      <c r="D5" s="9" t="n">
        <v>3</v>
      </c>
      <c r="E5" s="9" t="n">
        <v>4</v>
      </c>
      <c r="F5" s="9" t="n">
        <v>4</v>
      </c>
      <c r="G5" s="9" t="n">
        <v>4</v>
      </c>
      <c r="H5" s="9" t="n">
        <v>2</v>
      </c>
      <c r="I5" s="9" t="n">
        <f aca="false">ROUND(AVERAGE(E5:G5),1)</f>
        <v>4</v>
      </c>
      <c r="J5" s="9" t="s">
        <v>30</v>
      </c>
      <c r="K5" s="13" t="s">
        <v>31</v>
      </c>
    </row>
    <row r="6" customFormat="false" ht="15" hidden="false" customHeight="false" outlineLevel="0" collapsed="false">
      <c r="A6" s="9" t="s">
        <v>42</v>
      </c>
      <c r="B6" s="13" t="s">
        <v>43</v>
      </c>
      <c r="C6" s="9" t="s">
        <v>44</v>
      </c>
      <c r="D6" s="9" t="n">
        <v>3</v>
      </c>
      <c r="E6" s="9" t="n">
        <v>4</v>
      </c>
      <c r="F6" s="9" t="n">
        <v>3</v>
      </c>
      <c r="G6" s="9" t="n">
        <v>4</v>
      </c>
      <c r="H6" s="9" t="n">
        <v>2</v>
      </c>
      <c r="I6" s="9" t="n">
        <f aca="false">ROUND(AVERAGE(E6:G6),1)</f>
        <v>3.7</v>
      </c>
      <c r="J6" s="9" t="s">
        <v>30</v>
      </c>
      <c r="K6" s="13" t="s">
        <v>45</v>
      </c>
    </row>
    <row r="7" customFormat="false" ht="23.85" hidden="false" customHeight="false" outlineLevel="0" collapsed="false">
      <c r="A7" s="9" t="s">
        <v>46</v>
      </c>
      <c r="B7" s="13" t="s">
        <v>47</v>
      </c>
      <c r="C7" s="9" t="s">
        <v>44</v>
      </c>
      <c r="D7" s="9" t="n">
        <v>4</v>
      </c>
      <c r="E7" s="9" t="n">
        <v>3</v>
      </c>
      <c r="F7" s="9" t="n">
        <v>3</v>
      </c>
      <c r="G7" s="9" t="n">
        <v>3</v>
      </c>
      <c r="H7" s="9" t="n">
        <v>4</v>
      </c>
      <c r="I7" s="9" t="n">
        <f aca="false">ROUND(AVERAGE(E7:G7),1)</f>
        <v>3</v>
      </c>
      <c r="J7" s="9" t="s">
        <v>48</v>
      </c>
      <c r="K7" s="13" t="s">
        <v>49</v>
      </c>
    </row>
    <row r="8" customFormat="false" ht="23.85" hidden="false" customHeight="false" outlineLevel="0" collapsed="false">
      <c r="A8" s="9" t="s">
        <v>50</v>
      </c>
      <c r="B8" s="13" t="s">
        <v>51</v>
      </c>
      <c r="C8" s="9" t="s">
        <v>52</v>
      </c>
      <c r="D8" s="9" t="n">
        <v>4</v>
      </c>
      <c r="E8" s="9" t="n">
        <v>2</v>
      </c>
      <c r="F8" s="9" t="n">
        <v>3</v>
      </c>
      <c r="G8" s="9" t="n">
        <v>4</v>
      </c>
      <c r="H8" s="9" t="n">
        <v>3</v>
      </c>
      <c r="I8" s="9" t="n">
        <f aca="false">ROUND(AVERAGE(E8:G8),1)</f>
        <v>3</v>
      </c>
      <c r="J8" s="9" t="s">
        <v>53</v>
      </c>
      <c r="K8" s="13" t="s">
        <v>54</v>
      </c>
    </row>
    <row r="9" customFormat="false" ht="23.85" hidden="false" customHeight="false" outlineLevel="0" collapsed="false">
      <c r="A9" s="9" t="s">
        <v>55</v>
      </c>
      <c r="B9" s="13" t="s">
        <v>56</v>
      </c>
      <c r="C9" s="9" t="s">
        <v>57</v>
      </c>
      <c r="D9" s="9" t="n">
        <v>5</v>
      </c>
      <c r="E9" s="9" t="n">
        <v>3</v>
      </c>
      <c r="F9" s="9" t="n">
        <v>4</v>
      </c>
      <c r="G9" s="9" t="n">
        <v>5</v>
      </c>
      <c r="H9" s="9" t="n">
        <v>5</v>
      </c>
      <c r="I9" s="9" t="n">
        <f aca="false">ROUND(AVERAGE(E9:G9),1)</f>
        <v>4</v>
      </c>
      <c r="J9" s="9" t="s">
        <v>58</v>
      </c>
      <c r="K9" s="13" t="s">
        <v>59</v>
      </c>
    </row>
    <row r="10" customFormat="false" ht="23.85" hidden="false" customHeight="false" outlineLevel="0" collapsed="false">
      <c r="A10" s="9" t="s">
        <v>60</v>
      </c>
      <c r="B10" s="13" t="s">
        <v>61</v>
      </c>
      <c r="C10" s="9" t="s">
        <v>44</v>
      </c>
      <c r="D10" s="9" t="n">
        <v>4</v>
      </c>
      <c r="E10" s="9" t="n">
        <v>1</v>
      </c>
      <c r="F10" s="9" t="n">
        <v>2</v>
      </c>
      <c r="G10" s="9" t="n">
        <v>3</v>
      </c>
      <c r="H10" s="9" t="n">
        <v>4</v>
      </c>
      <c r="I10" s="9" t="n">
        <f aca="false">ROUND(AVERAGE(E10:G10),1)</f>
        <v>2</v>
      </c>
      <c r="J10" s="9" t="s">
        <v>62</v>
      </c>
      <c r="K10" s="13"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8"/>
    <col collapsed="false" customWidth="true" hidden="false" outlineLevel="0" max="3" min="3" style="0" width="46"/>
    <col collapsed="false" customWidth="true" hidden="false" outlineLevel="0" max="4" min="4" style="0" width="34"/>
  </cols>
  <sheetData>
    <row r="1" customFormat="false" ht="16.15" hidden="false" customHeight="false" outlineLevel="0" collapsed="false">
      <c r="A1" s="1" t="s">
        <v>64</v>
      </c>
    </row>
    <row r="2" customFormat="false" ht="15" hidden="false" customHeight="false" outlineLevel="0" collapsed="false">
      <c r="A2" s="5" t="s">
        <v>65</v>
      </c>
    </row>
    <row r="4" customFormat="false" ht="30" hidden="false" customHeight="true" outlineLevel="0" collapsed="false">
      <c r="A4" s="6" t="s">
        <v>66</v>
      </c>
      <c r="B4" s="6" t="s">
        <v>67</v>
      </c>
      <c r="C4" s="6" t="s">
        <v>68</v>
      </c>
      <c r="D4" s="6" t="s">
        <v>69</v>
      </c>
    </row>
    <row r="5" customFormat="false" ht="23.85" hidden="false" customHeight="false" outlineLevel="0" collapsed="false">
      <c r="A5" s="13" t="s">
        <v>70</v>
      </c>
      <c r="B5" s="13" t="s">
        <v>71</v>
      </c>
      <c r="C5" s="13" t="s">
        <v>72</v>
      </c>
      <c r="D5" s="13" t="s">
        <v>73</v>
      </c>
    </row>
    <row r="6" customFormat="false" ht="23.85" hidden="false" customHeight="false" outlineLevel="0" collapsed="false">
      <c r="A6" s="13" t="s">
        <v>18</v>
      </c>
      <c r="B6" s="13" t="s">
        <v>74</v>
      </c>
      <c r="C6" s="13" t="s">
        <v>75</v>
      </c>
      <c r="D6" s="13" t="s">
        <v>76</v>
      </c>
    </row>
    <row r="7" customFormat="false" ht="23.85" hidden="false" customHeight="false" outlineLevel="0" collapsed="false">
      <c r="A7" s="13" t="s">
        <v>20</v>
      </c>
      <c r="B7" s="13" t="s">
        <v>77</v>
      </c>
      <c r="C7" s="13" t="s">
        <v>78</v>
      </c>
      <c r="D7" s="13" t="s">
        <v>79</v>
      </c>
    </row>
    <row r="8" customFormat="false" ht="15" hidden="false" customHeight="false" outlineLevel="0" collapsed="false">
      <c r="A8" s="13" t="s">
        <v>21</v>
      </c>
      <c r="B8" s="13" t="s">
        <v>80</v>
      </c>
      <c r="C8" s="13" t="s">
        <v>81</v>
      </c>
      <c r="D8" s="13" t="s">
        <v>82</v>
      </c>
    </row>
    <row r="9" customFormat="false" ht="23.85" hidden="false" customHeight="false" outlineLevel="0" collapsed="false">
      <c r="A9" s="13" t="s">
        <v>22</v>
      </c>
      <c r="B9" s="13" t="s">
        <v>83</v>
      </c>
      <c r="C9" s="13" t="s">
        <v>84</v>
      </c>
      <c r="D9" s="13" t="s">
        <v>85</v>
      </c>
    </row>
    <row r="10" customFormat="false" ht="23.85" hidden="false" customHeight="false" outlineLevel="0" collapsed="false">
      <c r="A10" s="13" t="s">
        <v>86</v>
      </c>
      <c r="B10" s="13" t="s">
        <v>87</v>
      </c>
      <c r="C10" s="13" t="s">
        <v>88</v>
      </c>
      <c r="D10" s="13" t="s">
        <v>89</v>
      </c>
    </row>
    <row r="11" customFormat="false" ht="15" hidden="false" customHeight="false" outlineLevel="0" collapsed="false">
      <c r="A11" s="13" t="s">
        <v>90</v>
      </c>
      <c r="B11" s="13" t="s">
        <v>91</v>
      </c>
      <c r="C11" s="13" t="s">
        <v>92</v>
      </c>
      <c r="D11" s="13" t="s">
        <v>93</v>
      </c>
    </row>
    <row r="12" customFormat="false" ht="15" hidden="false" customHeight="false" outlineLevel="0" collapsed="false">
      <c r="A12" s="13" t="s">
        <v>94</v>
      </c>
      <c r="B12" s="13" t="s">
        <v>95</v>
      </c>
      <c r="C12" s="13" t="s">
        <v>96</v>
      </c>
      <c r="D12" s="13"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2026-09-14T07:10:48Z</dcterms:created>
  <dc:creator>openpyxl</dc:creator>
  <dc:description/>
  <dc:language>en-US</dc:language>
  <cp:lastModifiedBy/>
  <dcterms:modified xsi:type="dcterms:W3CDTF">2026-09-14T07:10:48Z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