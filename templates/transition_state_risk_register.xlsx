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egister" sheetId="2" state="visible" r:id="rId4"/>
    <sheet name="Samp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<sst xmlns="http://schemas.openxmlformats.org/spreadsheetml/2006/main" count="173" uniqueCount="113">
  <si>
    <t xml:space="preserve">Transition-State Risk Register</t>
  </si>
  <si>
    <t xml:space="preserve">Companion artifact to the Transition-State Zero Trust Adoption Toolkit, v0.1.</t>
  </si>
  <si>
    <t xml:space="preserve">What this is for</t>
  </si>
  <si>
    <t xml:space="preserve">Temporary exceptions are created during every migration. This register makes each one visible, owned, monitored and time-bound, so that it gets retired instead of quietly becoming permanent.</t>
  </si>
  <si>
    <t xml:space="preserve">Sheets</t>
  </si>
  <si>
    <t xml:space="preserve">Register   The working sheet. Shaded cells are yours to complete.</t>
  </si>
  <si>
    <t xml:space="preserve">Sample     Six worked entries, including one that had to be extended.</t>
  </si>
  <si>
    <t xml:space="preserve">The rule this register exists to enforce</t>
  </si>
  <si>
    <t xml:space="preserve">An exception with no named owner, no monitoring method and no retirement condition is not a temporary measure. It is unmanaged risk. If you cannot fill those three fields, reconsider granting the exception at all.</t>
  </si>
  <si>
    <t xml:space="preserve">Field notes</t>
  </si>
  <si>
    <t xml:space="preserve">Reason for exception   If this cannot be stated plainly, the exception is questionable.</t>
  </si>
  <si>
    <t xml:space="preserve">Compensating control   What reduces the risk while the exception is open.</t>
  </si>
  <si>
    <t xml:space="preserve">Expiry / review        A date, always. Not "end of project".</t>
  </si>
  <si>
    <t xml:space="preserve">Retirement condition   The specific event that allows closure, e.g. "workload X migrated".</t>
  </si>
  <si>
    <t xml:space="preserve">Status                 Open, Extended, or Closed.</t>
  </si>
  <si>
    <t xml:space="preserve">Notes</t>
  </si>
  <si>
    <t xml:space="preserve">Summary counts calculate themselves, including rows missing an owner or a retirement condition.</t>
  </si>
  <si>
    <t xml:space="preserve">Extending an exception needs a new date and a stated reason. Silent rollover defeats the purpose.</t>
  </si>
  <si>
    <t xml:space="preserve">Sample values are constructed for illustration and are not from a real organization.</t>
  </si>
  <si>
    <t xml:space="preserve">One row per temporary condition created while legacy systems and zero trust controls coexist. A row without an owner, a monitoring method and a retirement condition is unmanaged risk.</t>
  </si>
  <si>
    <t xml:space="preserve">Risk ID</t>
  </si>
  <si>
    <t xml:space="preserve">System / workload</t>
  </si>
  <si>
    <t xml:space="preserve">Temporary exception</t>
  </si>
  <si>
    <t xml:space="preserve">Reason for exception</t>
  </si>
  <si>
    <t xml:space="preserve">Compensating control</t>
  </si>
  <si>
    <t xml:space="preserve">Monitoring method</t>
  </si>
  <si>
    <t xml:space="preserve">Risk rating</t>
  </si>
  <si>
    <t xml:space="preserve">Business owner</t>
  </si>
  <si>
    <t xml:space="preserve">Technical owner</t>
  </si>
  <si>
    <t xml:space="preserve">Security owner</t>
  </si>
  <si>
    <t xml:space="preserve">Opened</t>
  </si>
  <si>
    <t xml:space="preserve">Expiry / review</t>
  </si>
  <si>
    <t xml:space="preserve">Retirement condition</t>
  </si>
  <si>
    <t xml:space="preserve">Status</t>
  </si>
  <si>
    <t xml:space="preserve">Evidence link</t>
  </si>
  <si>
    <t xml:space="preserve">TSR-001</t>
  </si>
  <si>
    <t xml:space="preserve">Legacy HR portal</t>
  </si>
  <si>
    <t xml:space="preserve">Local password authentication retained</t>
  </si>
  <si>
    <t xml:space="preserve">Vendor SSO connector is not available until the 7.4 release</t>
  </si>
  <si>
    <t xml:space="preserve">MFA enforced at VPN; daily review of portal logins</t>
  </si>
  <si>
    <t xml:space="preserve">Weekly SIEM query, results filed in the migration folder</t>
  </si>
  <si>
    <t xml:space="preserve">High</t>
  </si>
  <si>
    <t xml:space="preserve">HR Director</t>
  </si>
  <si>
    <t xml:space="preserve">R. Okonkwo</t>
  </si>
  <si>
    <t xml:space="preserve">S. Behrendt</t>
  </si>
  <si>
    <t xml:space="preserve">2026-03-18</t>
  </si>
  <si>
    <t xml:space="preserve">2026-10-31</t>
  </si>
  <si>
    <t xml:space="preserve">Local authentication disabled after SSO upgrade completes</t>
  </si>
  <si>
    <t xml:space="preserve">Open</t>
  </si>
  <si>
    <t xml:space="preserve">ops/TSR-001/</t>
  </si>
  <si>
    <t xml:space="preserve">&lt;- example row; overwrite or delete</t>
  </si>
  <si>
    <t xml:space="preserve">Summary</t>
  </si>
  <si>
    <t xml:space="preserve">Exceptions recorded</t>
  </si>
  <si>
    <t xml:space="preserve">Extended</t>
  </si>
  <si>
    <t xml:space="preserve">Closed</t>
  </si>
  <si>
    <t xml:space="preserve">High rating and still open</t>
  </si>
  <si>
    <t xml:space="preserve">Missing a technical owner</t>
  </si>
  <si>
    <t xml:space="preserve">Missing a retirement condition</t>
  </si>
  <si>
    <t xml:space="preserve">Status values: Open, Extended, Closed. Use Extended only with a new dated reason, never as a silent rollover.</t>
  </si>
  <si>
    <t xml:space="preserve">Sample: county government, wave 1 and wave 2</t>
  </si>
  <si>
    <t xml:space="preserve">Constructed for illustration; not results from a real organization. Note TSR-006, which could not be closed on time and was extended with a stated reason rather than left to lapse.</t>
  </si>
  <si>
    <t xml:space="preserve">TSR-002</t>
  </si>
  <si>
    <t xml:space="preserve">Payment reporting DB</t>
  </si>
  <si>
    <t xml:space="preserve">Broad temporary subnet allow rule</t>
  </si>
  <si>
    <t xml:space="preserve">Reporting callers not yet enumerated; dependency discovery incomplete</t>
  </si>
  <si>
    <t xml:space="preserve">Source-IP restriction to the reporting subnet; database audit logging on</t>
  </si>
  <si>
    <t xml:space="preserve">Daily rule-hit report; alert on any source outside the range</t>
  </si>
  <si>
    <t xml:space="preserve">Finance Director</t>
  </si>
  <si>
    <t xml:space="preserve">T. Alvarado</t>
  </si>
  <si>
    <t xml:space="preserve">2026-09-30</t>
  </si>
  <si>
    <t xml:space="preserve">Broad rule replaced with per-caller rules after discovery</t>
  </si>
  <si>
    <t xml:space="preserve">ops/TSR-002/</t>
  </si>
  <si>
    <t xml:space="preserve">TSR-003</t>
  </si>
  <si>
    <t xml:space="preserve">Backup management</t>
  </si>
  <si>
    <t xml:space="preserve">Privileged local service account</t>
  </si>
  <si>
    <t xml:space="preserve">Backup product does not yet support the PAM broker</t>
  </si>
  <si>
    <t xml:space="preserve">Credential held in vault; seven-day rotation; use alerts to SOC</t>
  </si>
  <si>
    <t xml:space="preserve">Rotation log reviewed at each 30/60/90 checkpoint</t>
  </si>
  <si>
    <t xml:space="preserve">Medium</t>
  </si>
  <si>
    <t xml:space="preserve">IT Operations Manager</t>
  </si>
  <si>
    <t xml:space="preserve">2026-03-25</t>
  </si>
  <si>
    <t xml:space="preserve">2026-11-15</t>
  </si>
  <si>
    <t xml:space="preserve">Service account moved into PAM-managed workflow</t>
  </si>
  <si>
    <t xml:space="preserve">ops/TSR-003/</t>
  </si>
  <si>
    <t xml:space="preserve">TSR-004</t>
  </si>
  <si>
    <t xml:space="preserve">Permits system</t>
  </si>
  <si>
    <t xml:space="preserve">Direct database read from the new reporting service</t>
  </si>
  <si>
    <t xml:space="preserve">Reporting service went live before the permits database migrated</t>
  </si>
  <si>
    <t xml:space="preserve">Path restricted to one source address; alert on any second source</t>
  </si>
  <si>
    <t xml:space="preserve">Weekly log review, notes filed with the register</t>
  </si>
  <si>
    <t xml:space="preserve">Planning Director</t>
  </si>
  <si>
    <t xml:space="preserve">D. Whitfield</t>
  </si>
  <si>
    <t xml:space="preserve">2026-04-02</t>
  </si>
  <si>
    <t xml:space="preserve">2026-08-14</t>
  </si>
  <si>
    <t xml:space="preserve">Reporting service repointed to the migrated database</t>
  </si>
  <si>
    <t xml:space="preserve">ops/TSR-004/closure.md</t>
  </si>
  <si>
    <t xml:space="preserve">TSR-005</t>
  </si>
  <si>
    <t xml:space="preserve">Kiosk units (annex sites)</t>
  </si>
  <si>
    <t xml:space="preserve">EDR agent not deployed</t>
  </si>
  <si>
    <t xml:space="preserve">Kiosk image does not support the current agent build</t>
  </si>
  <si>
    <t xml:space="preserve">Kiosks isolated in a restricted VLAN with no server-side access</t>
  </si>
  <si>
    <t xml:space="preserve">Monthly VLAN membership check</t>
  </si>
  <si>
    <t xml:space="preserve">2026-12-19</t>
  </si>
  <si>
    <t xml:space="preserve">Kiosks reimaged with a supported build, or retired</t>
  </si>
  <si>
    <t xml:space="preserve">ops/TSR-005/</t>
  </si>
  <si>
    <t xml:space="preserve">TSR-006</t>
  </si>
  <si>
    <t xml:space="preserve">File server (annex 2)</t>
  </si>
  <si>
    <t xml:space="preserve">Windows Server 2012 R2 host retained</t>
  </si>
  <si>
    <t xml:space="preserve">Replacement hardware is in the FY27 capital budget, not FY26</t>
  </si>
  <si>
    <t xml:space="preserve">Host isolated in its own segment; access logged and alerted</t>
  </si>
  <si>
    <t xml:space="preserve">Quarterly review at the assurance checkpoint</t>
  </si>
  <si>
    <t xml:space="preserve">2027-03-31</t>
  </si>
  <si>
    <t xml:space="preserve">Host replaced and decommissioned under the FY27 refresh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</si>
</sst>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403C"/>
        <bgColor rgb="FF333300"/>
      </patternFill>
    </fill>
    <fill>
      <patternFill patternType="solid">
        <fgColor rgb="FFFFF8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0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8"/>
  </cols>
  <sheetData>
    <row r="1" customFormat="false" ht="16.15" hidden="false" customHeight="false" outlineLevel="0" collapsed="false">
      <c r="A1" s="1" t="s">
        <v>0</v>
      </c>
    </row>
    <row r="3" customFormat="false" ht="13.5" hidden="false" customHeight="true" outlineLevel="0" collapsed="false">
      <c r="A3" s="2" t="s">
        <v>1</v>
      </c>
    </row>
    <row r="4" customFormat="false" ht="13.5" hidden="false" customHeight="true" outlineLevel="0" collapsed="false">
      <c r="A4" s="3"/>
    </row>
    <row r="5" customFormat="false" ht="13.5" hidden="false" customHeight="true" outlineLevel="0" collapsed="false">
      <c r="A5" s="4" t="s">
        <v>2</v>
      </c>
    </row>
    <row r="6" customFormat="false" ht="25.5" hidden="false" customHeight="true" outlineLevel="0" collapsed="false">
      <c r="A6" s="3" t="s">
        <v>3</v>
      </c>
    </row>
    <row r="7" customFormat="false" ht="13.5" hidden="false" customHeight="true" outlineLevel="0" collapsed="false">
      <c r="A7" s="3"/>
    </row>
    <row r="8" customFormat="false" ht="13.5" hidden="false" customHeight="true" outlineLevel="0" collapsed="false">
      <c r="A8" s="4" t="s">
        <v>4</v>
      </c>
    </row>
    <row r="9" customFormat="false" ht="13.5" hidden="false" customHeight="true" outlineLevel="0" collapsed="false">
      <c r="A9" s="3" t="s">
        <v>5</v>
      </c>
    </row>
    <row r="10" customFormat="false" ht="13.5" hidden="false" customHeight="true" outlineLevel="0" collapsed="false">
      <c r="A10" s="3" t="s">
        <v>6</v>
      </c>
    </row>
    <row r="11" customFormat="false" ht="13.5" hidden="false" customHeight="true" outlineLevel="0" collapsed="false">
      <c r="A11" s="3"/>
    </row>
    <row r="12" customFormat="false" ht="13.5" hidden="false" customHeight="true" outlineLevel="0" collapsed="false">
      <c r="A12" s="4" t="s">
        <v>7</v>
      </c>
    </row>
    <row r="13" customFormat="false" ht="39" hidden="false" customHeight="true" outlineLevel="0" collapsed="false">
      <c r="A13" s="3" t="s">
        <v>8</v>
      </c>
    </row>
    <row r="14" customFormat="false" ht="13.5" hidden="false" customHeight="true" outlineLevel="0" collapsed="false">
      <c r="A14" s="3"/>
    </row>
    <row r="15" customFormat="false" ht="13.5" hidden="false" customHeight="true" outlineLevel="0" collapsed="false">
      <c r="A15" s="4" t="s">
        <v>9</v>
      </c>
    </row>
    <row r="16" customFormat="false" ht="13.5" hidden="false" customHeight="true" outlineLevel="0" collapsed="false">
      <c r="A16" s="3" t="s">
        <v>10</v>
      </c>
    </row>
    <row r="17" customFormat="false" ht="13.5" hidden="false" customHeight="true" outlineLevel="0" collapsed="false">
      <c r="A17" s="3" t="s">
        <v>11</v>
      </c>
    </row>
    <row r="18" customFormat="false" ht="13.5" hidden="false" customHeight="true" outlineLevel="0" collapsed="false">
      <c r="A18" s="3" t="s">
        <v>12</v>
      </c>
    </row>
    <row r="19" customFormat="false" ht="13.5" hidden="false" customHeight="true" outlineLevel="0" collapsed="false">
      <c r="A19" s="3" t="s">
        <v>13</v>
      </c>
    </row>
    <row r="20" customFormat="false" ht="13.5" hidden="false" customHeight="true" outlineLevel="0" collapsed="false">
      <c r="A20" s="3" t="s">
        <v>14</v>
      </c>
    </row>
    <row r="21" customFormat="false" ht="13.5" hidden="false" customHeight="true" outlineLevel="0" collapsed="false">
      <c r="A21" s="3"/>
    </row>
    <row r="22" customFormat="false" ht="13.5" hidden="false" customHeight="true" outlineLevel="0" collapsed="false">
      <c r="A22" s="4" t="s">
        <v>15</v>
      </c>
    </row>
    <row r="23" customFormat="false" ht="13.5" hidden="false" customHeight="true" outlineLevel="0" collapsed="false">
      <c r="A23" s="2" t="s">
        <v>16</v>
      </c>
    </row>
    <row r="24" customFormat="false" ht="13.5" hidden="false" customHeight="true" outlineLevel="0" collapsed="false">
      <c r="A24" s="2" t="s">
        <v>17</v>
      </c>
    </row>
    <row r="25" customFormat="false" ht="13.5" hidden="false" customHeight="true" outlineLevel="0" collapsed="false">
      <c r="A25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5" min="3" style="0" width="34"/>
    <col collapsed="false" customWidth="true" hidden="false" outlineLevel="0" max="6" min="6" style="0" width="28"/>
    <col collapsed="false" customWidth="true" hidden="false" outlineLevel="0" max="7" min="7" style="0" width="11"/>
    <col collapsed="false" customWidth="true" hidden="false" outlineLevel="0" max="10" min="8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34"/>
    <col collapsed="false" customWidth="true" hidden="false" outlineLevel="0" max="14" min="14" style="0" width="14"/>
    <col collapsed="false" customWidth="true" hidden="false" outlineLevel="0" max="15" min="15" style="0" width="2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5" t="s">
        <v>19</v>
      </c>
    </row>
    <row r="4" customFormat="false" ht="30" hidden="false" customHeight="true" outlineLevel="0" collapsed="false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6" t="s">
        <v>34</v>
      </c>
    </row>
    <row r="5" customFormat="false" ht="23.85" hidden="false" customHeight="false" outlineLevel="0" collapsed="false">
      <c r="A5" s="7" t="s">
        <v>35</v>
      </c>
      <c r="B5" s="8" t="s">
        <v>36</v>
      </c>
      <c r="C5" s="8" t="s">
        <v>37</v>
      </c>
      <c r="D5" s="8" t="s">
        <v>38</v>
      </c>
      <c r="E5" s="8" t="s">
        <v>39</v>
      </c>
      <c r="F5" s="8" t="s">
        <v>40</v>
      </c>
      <c r="G5" s="7" t="s">
        <v>41</v>
      </c>
      <c r="H5" s="8" t="s">
        <v>42</v>
      </c>
      <c r="I5" s="8" t="s">
        <v>43</v>
      </c>
      <c r="J5" s="8" t="s">
        <v>44</v>
      </c>
      <c r="K5" s="7" t="s">
        <v>45</v>
      </c>
      <c r="L5" s="7" t="s">
        <v>46</v>
      </c>
      <c r="M5" s="8" t="s">
        <v>47</v>
      </c>
      <c r="N5" s="7" t="s">
        <v>48</v>
      </c>
      <c r="O5" s="8" t="s">
        <v>49</v>
      </c>
      <c r="P5" s="5" t="s">
        <v>50</v>
      </c>
    </row>
    <row r="6" customFormat="false" ht="15" hidden="false" customHeight="false" outlineLevel="0" collapsed="false">
      <c r="A6" s="7"/>
      <c r="B6" s="8"/>
      <c r="C6" s="8"/>
      <c r="D6" s="8"/>
      <c r="E6" s="8"/>
      <c r="F6" s="8"/>
      <c r="G6" s="7"/>
      <c r="H6" s="8"/>
      <c r="I6" s="8"/>
      <c r="J6" s="8"/>
      <c r="K6" s="7"/>
      <c r="L6" s="7"/>
      <c r="M6" s="8"/>
      <c r="N6" s="7"/>
      <c r="O6" s="8"/>
    </row>
    <row r="7" customFormat="false" ht="15" hidden="false" customHeight="false" outlineLevel="0" collapsed="false">
      <c r="A7" s="7"/>
      <c r="B7" s="8"/>
      <c r="C7" s="8"/>
      <c r="D7" s="8"/>
      <c r="E7" s="8"/>
      <c r="F7" s="8"/>
      <c r="G7" s="7"/>
      <c r="H7" s="8"/>
      <c r="I7" s="8"/>
      <c r="J7" s="8"/>
      <c r="K7" s="7"/>
      <c r="L7" s="7"/>
      <c r="M7" s="8"/>
      <c r="N7" s="7"/>
      <c r="O7" s="8"/>
    </row>
    <row r="8" customFormat="false" ht="15" hidden="false" customHeight="false" outlineLevel="0" collapsed="false">
      <c r="A8" s="7"/>
      <c r="B8" s="8"/>
      <c r="C8" s="8"/>
      <c r="D8" s="8"/>
      <c r="E8" s="8"/>
      <c r="F8" s="8"/>
      <c r="G8" s="7"/>
      <c r="H8" s="8"/>
      <c r="I8" s="8"/>
      <c r="J8" s="8"/>
      <c r="K8" s="7"/>
      <c r="L8" s="7"/>
      <c r="M8" s="8"/>
      <c r="N8" s="7"/>
      <c r="O8" s="8"/>
    </row>
    <row r="9" customFormat="false" ht="15" hidden="false" customHeight="false" outlineLevel="0" collapsed="false">
      <c r="A9" s="7"/>
      <c r="B9" s="8"/>
      <c r="C9" s="8"/>
      <c r="D9" s="8"/>
      <c r="E9" s="8"/>
      <c r="F9" s="8"/>
      <c r="G9" s="7"/>
      <c r="H9" s="8"/>
      <c r="I9" s="8"/>
      <c r="J9" s="8"/>
      <c r="K9" s="7"/>
      <c r="L9" s="7"/>
      <c r="M9" s="8"/>
      <c r="N9" s="7"/>
      <c r="O9" s="8"/>
    </row>
    <row r="10" customFormat="false" ht="15" hidden="false" customHeight="false" outlineLevel="0" collapsed="false">
      <c r="A10" s="7"/>
      <c r="B10" s="8"/>
      <c r="C10" s="8"/>
      <c r="D10" s="8"/>
      <c r="E10" s="8"/>
      <c r="F10" s="8"/>
      <c r="G10" s="7"/>
      <c r="H10" s="8"/>
      <c r="I10" s="8"/>
      <c r="J10" s="8"/>
      <c r="K10" s="7"/>
      <c r="L10" s="7"/>
      <c r="M10" s="8"/>
      <c r="N10" s="7"/>
      <c r="O10" s="8"/>
    </row>
    <row r="11" customFormat="false" ht="15" hidden="false" customHeight="false" outlineLevel="0" collapsed="false">
      <c r="A11" s="7"/>
      <c r="B11" s="8"/>
      <c r="C11" s="8"/>
      <c r="D11" s="8"/>
      <c r="E11" s="8"/>
      <c r="F11" s="8"/>
      <c r="G11" s="7"/>
      <c r="H11" s="8"/>
      <c r="I11" s="8"/>
      <c r="J11" s="8"/>
      <c r="K11" s="7"/>
      <c r="L11" s="7"/>
      <c r="M11" s="8"/>
      <c r="N11" s="7"/>
      <c r="O11" s="8"/>
    </row>
    <row r="12" customFormat="false" ht="15" hidden="false" customHeight="false" outlineLevel="0" collapsed="false">
      <c r="A12" s="7"/>
      <c r="B12" s="8"/>
      <c r="C12" s="8"/>
      <c r="D12" s="8"/>
      <c r="E12" s="8"/>
      <c r="F12" s="8"/>
      <c r="G12" s="7"/>
      <c r="H12" s="8"/>
      <c r="I12" s="8"/>
      <c r="J12" s="8"/>
      <c r="K12" s="7"/>
      <c r="L12" s="7"/>
      <c r="M12" s="8"/>
      <c r="N12" s="7"/>
      <c r="O12" s="8"/>
    </row>
    <row r="13" customFormat="false" ht="15" hidden="false" customHeight="false" outlineLevel="0" collapsed="false">
      <c r="A13" s="7"/>
      <c r="B13" s="8"/>
      <c r="C13" s="8"/>
      <c r="D13" s="8"/>
      <c r="E13" s="8"/>
      <c r="F13" s="8"/>
      <c r="G13" s="7"/>
      <c r="H13" s="8"/>
      <c r="I13" s="8"/>
      <c r="J13" s="8"/>
      <c r="K13" s="7"/>
      <c r="L13" s="7"/>
      <c r="M13" s="8"/>
      <c r="N13" s="7"/>
      <c r="O13" s="8"/>
    </row>
    <row r="14" customFormat="false" ht="15" hidden="false" customHeight="false" outlineLevel="0" collapsed="false">
      <c r="A14" s="7"/>
      <c r="B14" s="8"/>
      <c r="C14" s="8"/>
      <c r="D14" s="8"/>
      <c r="E14" s="8"/>
      <c r="F14" s="8"/>
      <c r="G14" s="7"/>
      <c r="H14" s="8"/>
      <c r="I14" s="8"/>
      <c r="J14" s="8"/>
      <c r="K14" s="7"/>
      <c r="L14" s="7"/>
      <c r="M14" s="8"/>
      <c r="N14" s="7"/>
      <c r="O14" s="8"/>
    </row>
    <row r="15" customFormat="false" ht="15" hidden="false" customHeight="false" outlineLevel="0" collapsed="false">
      <c r="A15" s="7"/>
      <c r="B15" s="8"/>
      <c r="C15" s="8"/>
      <c r="D15" s="8"/>
      <c r="E15" s="8"/>
      <c r="F15" s="8"/>
      <c r="G15" s="7"/>
      <c r="H15" s="8"/>
      <c r="I15" s="8"/>
      <c r="J15" s="8"/>
      <c r="K15" s="7"/>
      <c r="L15" s="7"/>
      <c r="M15" s="8"/>
      <c r="N15" s="7"/>
      <c r="O15" s="8"/>
    </row>
    <row r="16" customFormat="false" ht="15" hidden="false" customHeight="false" outlineLevel="0" collapsed="false">
      <c r="A16" s="7"/>
      <c r="B16" s="8"/>
      <c r="C16" s="8"/>
      <c r="D16" s="8"/>
      <c r="E16" s="8"/>
      <c r="F16" s="8"/>
      <c r="G16" s="7"/>
      <c r="H16" s="8"/>
      <c r="I16" s="8"/>
      <c r="J16" s="8"/>
      <c r="K16" s="7"/>
      <c r="L16" s="7"/>
      <c r="M16" s="8"/>
      <c r="N16" s="7"/>
      <c r="O16" s="8"/>
    </row>
    <row r="17" customFormat="false" ht="15" hidden="false" customHeight="false" outlineLevel="0" collapsed="false">
      <c r="A17" s="7"/>
      <c r="B17" s="8"/>
      <c r="C17" s="8"/>
      <c r="D17" s="8"/>
      <c r="E17" s="8"/>
      <c r="F17" s="8"/>
      <c r="G17" s="7"/>
      <c r="H17" s="8"/>
      <c r="I17" s="8"/>
      <c r="J17" s="8"/>
      <c r="K17" s="7"/>
      <c r="L17" s="7"/>
      <c r="M17" s="8"/>
      <c r="N17" s="7"/>
      <c r="O17" s="8"/>
    </row>
    <row r="18" customFormat="false" ht="15" hidden="false" customHeight="false" outlineLevel="0" collapsed="false">
      <c r="A18" s="7"/>
      <c r="B18" s="8"/>
      <c r="C18" s="8"/>
      <c r="D18" s="8"/>
      <c r="E18" s="8"/>
      <c r="F18" s="8"/>
      <c r="G18" s="7"/>
      <c r="H18" s="8"/>
      <c r="I18" s="8"/>
      <c r="J18" s="8"/>
      <c r="K18" s="7"/>
      <c r="L18" s="7"/>
      <c r="M18" s="8"/>
      <c r="N18" s="7"/>
      <c r="O18" s="8"/>
    </row>
    <row r="19" customFormat="false" ht="15" hidden="false" customHeight="false" outlineLevel="0" collapsed="false">
      <c r="A19" s="7"/>
      <c r="B19" s="8"/>
      <c r="C19" s="8"/>
      <c r="D19" s="8"/>
      <c r="E19" s="8"/>
      <c r="F19" s="8"/>
      <c r="G19" s="7"/>
      <c r="H19" s="8"/>
      <c r="I19" s="8"/>
      <c r="J19" s="8"/>
      <c r="K19" s="7"/>
      <c r="L19" s="7"/>
      <c r="M19" s="8"/>
      <c r="N19" s="7"/>
      <c r="O19" s="8"/>
    </row>
    <row r="20" customFormat="false" ht="15" hidden="false" customHeight="false" outlineLevel="0" collapsed="false">
      <c r="A20" s="7"/>
      <c r="B20" s="8"/>
      <c r="C20" s="8"/>
      <c r="D20" s="8"/>
      <c r="E20" s="8"/>
      <c r="F20" s="8"/>
      <c r="G20" s="7"/>
      <c r="H20" s="8"/>
      <c r="I20" s="8"/>
      <c r="J20" s="8"/>
      <c r="K20" s="7"/>
      <c r="L20" s="7"/>
      <c r="M20" s="8"/>
      <c r="N20" s="7"/>
      <c r="O20" s="8"/>
    </row>
    <row r="21" customFormat="false" ht="15" hidden="false" customHeight="false" outlineLevel="0" collapsed="false">
      <c r="A21" s="7"/>
      <c r="B21" s="8"/>
      <c r="C21" s="8"/>
      <c r="D21" s="8"/>
      <c r="E21" s="8"/>
      <c r="F21" s="8"/>
      <c r="G21" s="7"/>
      <c r="H21" s="8"/>
      <c r="I21" s="8"/>
      <c r="J21" s="8"/>
      <c r="K21" s="7"/>
      <c r="L21" s="7"/>
      <c r="M21" s="8"/>
      <c r="N21" s="7"/>
      <c r="O21" s="8"/>
    </row>
    <row r="22" customFormat="false" ht="15" hidden="false" customHeight="false" outlineLevel="0" collapsed="false">
      <c r="A22" s="7"/>
      <c r="B22" s="8"/>
      <c r="C22" s="8"/>
      <c r="D22" s="8"/>
      <c r="E22" s="8"/>
      <c r="F22" s="8"/>
      <c r="G22" s="7"/>
      <c r="H22" s="8"/>
      <c r="I22" s="8"/>
      <c r="J22" s="8"/>
      <c r="K22" s="7"/>
      <c r="L22" s="7"/>
      <c r="M22" s="8"/>
      <c r="N22" s="7"/>
      <c r="O22" s="8"/>
    </row>
    <row r="23" customFormat="false" ht="15" hidden="false" customHeight="false" outlineLevel="0" collapsed="false">
      <c r="A23" s="7"/>
      <c r="B23" s="8"/>
      <c r="C23" s="8"/>
      <c r="D23" s="8"/>
      <c r="E23" s="8"/>
      <c r="F23" s="8"/>
      <c r="G23" s="7"/>
      <c r="H23" s="8"/>
      <c r="I23" s="8"/>
      <c r="J23" s="8"/>
      <c r="K23" s="7"/>
      <c r="L23" s="7"/>
      <c r="M23" s="8"/>
      <c r="N23" s="7"/>
      <c r="O23" s="8"/>
    </row>
    <row r="24" customFormat="false" ht="15" hidden="false" customHeight="false" outlineLevel="0" collapsed="false">
      <c r="A24" s="7"/>
      <c r="B24" s="8"/>
      <c r="C24" s="8"/>
      <c r="D24" s="8"/>
      <c r="E24" s="8"/>
      <c r="F24" s="8"/>
      <c r="G24" s="7"/>
      <c r="H24" s="8"/>
      <c r="I24" s="8"/>
      <c r="J24" s="8"/>
      <c r="K24" s="7"/>
      <c r="L24" s="7"/>
      <c r="M24" s="8"/>
      <c r="N24" s="7"/>
      <c r="O24" s="8"/>
    </row>
    <row r="26" customFormat="false" ht="15" hidden="false" customHeight="false" outlineLevel="0" collapsed="false">
      <c r="A26" s="9" t="s">
        <v>51</v>
      </c>
    </row>
    <row r="27" customFormat="false" ht="15" hidden="false" customHeight="false" outlineLevel="0" collapsed="false">
      <c r="A27" s="10" t="s">
        <v>52</v>
      </c>
      <c r="B27" s="11" t="n">
        <f aca="false">COUNTA(A5:A24)</f>
        <v>1</v>
      </c>
    </row>
    <row r="28" customFormat="false" ht="15" hidden="false" customHeight="false" outlineLevel="0" collapsed="false">
      <c r="A28" s="10" t="s">
        <v>48</v>
      </c>
      <c r="B28" s="11" t="n">
        <f aca="false">COUNTIF(N5:N24,"Open")</f>
        <v>1</v>
      </c>
    </row>
    <row r="29" customFormat="false" ht="15" hidden="false" customHeight="false" outlineLevel="0" collapsed="false">
      <c r="A29" s="10" t="s">
        <v>53</v>
      </c>
      <c r="B29" s="11" t="n">
        <f aca="false">COUNTIF(N5:N24,"Extended")</f>
        <v>0</v>
      </c>
    </row>
    <row r="30" customFormat="false" ht="15" hidden="false" customHeight="false" outlineLevel="0" collapsed="false">
      <c r="A30" s="10" t="s">
        <v>54</v>
      </c>
      <c r="B30" s="11" t="n">
        <f aca="false">COUNTIF(N5:N24,"Closed")</f>
        <v>0</v>
      </c>
    </row>
    <row r="31" customFormat="false" ht="15" hidden="false" customHeight="false" outlineLevel="0" collapsed="false">
      <c r="A31" s="10" t="s">
        <v>55</v>
      </c>
      <c r="B31" s="11" t="n">
        <f aca="false">COUNTIFS(G5:G24,"High",N5:N24,"Open")</f>
        <v>1</v>
      </c>
    </row>
    <row r="32" customFormat="false" ht="15" hidden="false" customHeight="false" outlineLevel="0" collapsed="false">
      <c r="A32" s="10" t="s">
        <v>56</v>
      </c>
      <c r="B32" s="11" t="n">
        <f aca="false">COUNTIFS(A5:A24,"&lt;&gt;",I5:I24,"")</f>
        <v>0</v>
      </c>
    </row>
    <row r="33" customFormat="false" ht="15" hidden="false" customHeight="false" outlineLevel="0" collapsed="false">
      <c r="A33" s="10" t="s">
        <v>57</v>
      </c>
      <c r="B33" s="11" t="n">
        <f aca="false">COUNTIFS(A5:A24,"&lt;&gt;",M5:M24,"")</f>
        <v>0</v>
      </c>
    </row>
    <row r="35" customFormat="false" ht="15" hidden="false" customHeight="false" outlineLevel="0" collapsed="false">
      <c r="A35" s="5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5" min="3" style="0" width="34"/>
    <col collapsed="false" customWidth="true" hidden="false" outlineLevel="0" max="6" min="6" style="0" width="28"/>
    <col collapsed="false" customWidth="true" hidden="false" outlineLevel="0" max="7" min="7" style="0" width="11"/>
    <col collapsed="false" customWidth="true" hidden="false" outlineLevel="0" max="10" min="8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34"/>
    <col collapsed="false" customWidth="true" hidden="false" outlineLevel="0" max="14" min="14" style="0" width="14"/>
    <col collapsed="false" customWidth="true" hidden="false" outlineLevel="0" max="15" min="15" style="0" width="24"/>
  </cols>
  <sheetData>
    <row r="1" customFormat="false" ht="16.15" hidden="false" customHeight="false" outlineLevel="0" collapsed="false">
      <c r="A1" s="1" t="s">
        <v>59</v>
      </c>
    </row>
    <row r="2" customFormat="false" ht="15" hidden="false" customHeight="false" outlineLevel="0" collapsed="false">
      <c r="A2" s="5" t="s">
        <v>60</v>
      </c>
    </row>
    <row r="4" customFormat="false" ht="30" hidden="false" customHeight="true" outlineLevel="0" collapsed="false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6" t="s">
        <v>34</v>
      </c>
    </row>
    <row r="5" customFormat="false" ht="23.85" hidden="false" customHeight="false" outlineLevel="0" collapsed="false">
      <c r="A5" s="12" t="s">
        <v>35</v>
      </c>
      <c r="B5" s="13" t="s">
        <v>36</v>
      </c>
      <c r="C5" s="13" t="s">
        <v>37</v>
      </c>
      <c r="D5" s="13" t="s">
        <v>38</v>
      </c>
      <c r="E5" s="13" t="s">
        <v>39</v>
      </c>
      <c r="F5" s="13" t="s">
        <v>40</v>
      </c>
      <c r="G5" s="12" t="s">
        <v>41</v>
      </c>
      <c r="H5" s="13" t="s">
        <v>42</v>
      </c>
      <c r="I5" s="13" t="s">
        <v>43</v>
      </c>
      <c r="J5" s="13" t="s">
        <v>44</v>
      </c>
      <c r="K5" s="12" t="s">
        <v>45</v>
      </c>
      <c r="L5" s="12" t="s">
        <v>46</v>
      </c>
      <c r="M5" s="13" t="s">
        <v>47</v>
      </c>
      <c r="N5" s="12" t="s">
        <v>48</v>
      </c>
      <c r="O5" s="13" t="s">
        <v>49</v>
      </c>
    </row>
    <row r="6" customFormat="false" ht="23.85" hidden="false" customHeight="false" outlineLevel="0" collapsed="false">
      <c r="A6" s="12" t="s">
        <v>61</v>
      </c>
      <c r="B6" s="13" t="s">
        <v>62</v>
      </c>
      <c r="C6" s="13" t="s">
        <v>63</v>
      </c>
      <c r="D6" s="13" t="s">
        <v>64</v>
      </c>
      <c r="E6" s="13" t="s">
        <v>65</v>
      </c>
      <c r="F6" s="13" t="s">
        <v>66</v>
      </c>
      <c r="G6" s="12" t="s">
        <v>41</v>
      </c>
      <c r="H6" s="13" t="s">
        <v>67</v>
      </c>
      <c r="I6" s="13" t="s">
        <v>68</v>
      </c>
      <c r="J6" s="13" t="s">
        <v>44</v>
      </c>
      <c r="K6" s="12" t="s">
        <v>45</v>
      </c>
      <c r="L6" s="12" t="s">
        <v>69</v>
      </c>
      <c r="M6" s="13" t="s">
        <v>70</v>
      </c>
      <c r="N6" s="12" t="s">
        <v>48</v>
      </c>
      <c r="O6" s="13" t="s">
        <v>71</v>
      </c>
    </row>
    <row r="7" customFormat="false" ht="23.85" hidden="false" customHeight="false" outlineLevel="0" collapsed="false">
      <c r="A7" s="12" t="s">
        <v>72</v>
      </c>
      <c r="B7" s="13" t="s">
        <v>73</v>
      </c>
      <c r="C7" s="13" t="s">
        <v>74</v>
      </c>
      <c r="D7" s="13" t="s">
        <v>75</v>
      </c>
      <c r="E7" s="13" t="s">
        <v>76</v>
      </c>
      <c r="F7" s="13" t="s">
        <v>77</v>
      </c>
      <c r="G7" s="12" t="s">
        <v>78</v>
      </c>
      <c r="H7" s="13" t="s">
        <v>79</v>
      </c>
      <c r="I7" s="13" t="s">
        <v>44</v>
      </c>
      <c r="J7" s="13" t="s">
        <v>44</v>
      </c>
      <c r="K7" s="12" t="s">
        <v>80</v>
      </c>
      <c r="L7" s="12" t="s">
        <v>81</v>
      </c>
      <c r="M7" s="13" t="s">
        <v>82</v>
      </c>
      <c r="N7" s="12" t="s">
        <v>48</v>
      </c>
      <c r="O7" s="13" t="s">
        <v>83</v>
      </c>
    </row>
    <row r="8" customFormat="false" ht="23.85" hidden="false" customHeight="false" outlineLevel="0" collapsed="false">
      <c r="A8" s="12" t="s">
        <v>84</v>
      </c>
      <c r="B8" s="13" t="s">
        <v>85</v>
      </c>
      <c r="C8" s="13" t="s">
        <v>86</v>
      </c>
      <c r="D8" s="13" t="s">
        <v>87</v>
      </c>
      <c r="E8" s="13" t="s">
        <v>88</v>
      </c>
      <c r="F8" s="13" t="s">
        <v>89</v>
      </c>
      <c r="G8" s="12" t="s">
        <v>78</v>
      </c>
      <c r="H8" s="13" t="s">
        <v>90</v>
      </c>
      <c r="I8" s="13" t="s">
        <v>91</v>
      </c>
      <c r="J8" s="13" t="s">
        <v>44</v>
      </c>
      <c r="K8" s="12" t="s">
        <v>92</v>
      </c>
      <c r="L8" s="12" t="s">
        <v>93</v>
      </c>
      <c r="M8" s="13" t="s">
        <v>94</v>
      </c>
      <c r="N8" s="12" t="s">
        <v>54</v>
      </c>
      <c r="O8" s="13" t="s">
        <v>95</v>
      </c>
    </row>
    <row r="9" customFormat="false" ht="23.85" hidden="false" customHeight="false" outlineLevel="0" collapsed="false">
      <c r="A9" s="12" t="s">
        <v>96</v>
      </c>
      <c r="B9" s="13" t="s">
        <v>97</v>
      </c>
      <c r="C9" s="13" t="s">
        <v>98</v>
      </c>
      <c r="D9" s="13" t="s">
        <v>99</v>
      </c>
      <c r="E9" s="13" t="s">
        <v>100</v>
      </c>
      <c r="F9" s="13" t="s">
        <v>101</v>
      </c>
      <c r="G9" s="12" t="s">
        <v>78</v>
      </c>
      <c r="H9" s="13" t="s">
        <v>79</v>
      </c>
      <c r="I9" s="13" t="s">
        <v>68</v>
      </c>
      <c r="J9" s="13" t="s">
        <v>44</v>
      </c>
      <c r="K9" s="12" t="s">
        <v>92</v>
      </c>
      <c r="L9" s="12" t="s">
        <v>102</v>
      </c>
      <c r="M9" s="13" t="s">
        <v>103</v>
      </c>
      <c r="N9" s="12" t="s">
        <v>48</v>
      </c>
      <c r="O9" s="13" t="s">
        <v>104</v>
      </c>
    </row>
    <row r="10" customFormat="false" ht="23.85" hidden="false" customHeight="false" outlineLevel="0" collapsed="false">
      <c r="A10" s="12" t="s">
        <v>105</v>
      </c>
      <c r="B10" s="13" t="s">
        <v>106</v>
      </c>
      <c r="C10" s="13" t="s">
        <v>107</v>
      </c>
      <c r="D10" s="13" t="s">
        <v>108</v>
      </c>
      <c r="E10" s="13" t="s">
        <v>109</v>
      </c>
      <c r="F10" s="13" t="s">
        <v>110</v>
      </c>
      <c r="G10" s="12" t="s">
        <v>41</v>
      </c>
      <c r="H10" s="13" t="s">
        <v>79</v>
      </c>
      <c r="I10" s="13" t="s">
        <v>68</v>
      </c>
      <c r="J10" s="13" t="s">
        <v>44</v>
      </c>
      <c r="K10" s="12" t="s">
        <v>45</v>
      </c>
      <c r="L10" s="12" t="s">
        <v>111</v>
      </c>
      <c r="M10" s="13" t="s">
        <v>112</v>
      </c>
      <c r="N10" s="12" t="s">
        <v>53</v>
      </c>
    </row>
    <row r="12" customFormat="false" ht="15" hidden="false" customHeight="false" outlineLevel="0" collapsed="false">
      <c r="A12" s="9" t="s">
        <v>51</v>
      </c>
    </row>
    <row r="13" customFormat="false" ht="15" hidden="false" customHeight="false" outlineLevel="0" collapsed="false">
      <c r="A13" s="10" t="s">
        <v>52</v>
      </c>
      <c r="B13" s="11" t="n">
        <f aca="false">COUNTA(A5:A10)</f>
        <v>6</v>
      </c>
    </row>
    <row r="14" customFormat="false" ht="15" hidden="false" customHeight="false" outlineLevel="0" collapsed="false">
      <c r="A14" s="10" t="s">
        <v>48</v>
      </c>
      <c r="B14" s="11" t="n">
        <f aca="false">COUNTIF(N5:N10,"Open")</f>
        <v>4</v>
      </c>
    </row>
    <row r="15" customFormat="false" ht="15" hidden="false" customHeight="false" outlineLevel="0" collapsed="false">
      <c r="A15" s="10" t="s">
        <v>53</v>
      </c>
      <c r="B15" s="11" t="n">
        <f aca="false">COUNTIF(N5:N10,"Extended")</f>
        <v>1</v>
      </c>
    </row>
    <row r="16" customFormat="false" ht="15" hidden="false" customHeight="false" outlineLevel="0" collapsed="false">
      <c r="A16" s="10" t="s">
        <v>54</v>
      </c>
      <c r="B16" s="11" t="n">
        <f aca="false">COUNTIF(N5:N10,"Closed")</f>
        <v>1</v>
      </c>
    </row>
    <row r="17" customFormat="false" ht="15" hidden="false" customHeight="false" outlineLevel="0" collapsed="false">
      <c r="A17" s="10" t="s">
        <v>55</v>
      </c>
      <c r="B17" s="11" t="n">
        <f aca="false">COUNTIFS(G5:G10,"High",N5:N10,"Open")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2026-09-14T07:10:48Z</dcterms:created>
  <dc:creator>openpyxl</dc:creator>
  <dc:description/>
  <dc:language>en-US</dc:language>
  <cp:lastModifiedBy/>
  <dcterms:modified xsi:type="dcterms:W3CDTF">2026-09-14T07:10:48Z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