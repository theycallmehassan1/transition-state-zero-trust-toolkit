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orecard" sheetId="2" state="visible" r:id="rId4"/>
    <sheet name="Sample" sheetId="3" state="visible" r:id="rId5"/>
    <sheet name="Scoring sca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<sst xmlns="http://schemas.openxmlformats.org/spreadsheetml/2006/main" count="152" uniqueCount="104">
  <si>
    <t xml:space="preserve">Zero Trust Transition Readiness Scorecard</t>
  </si>
  <si>
    <t xml:space="preserve">Companion artifact to the Transition-State Zero Trust Adoption Toolkit, v0.1.</t>
  </si>
  <si>
    <t xml:space="preserve">What this is for</t>
  </si>
  <si>
    <t xml:space="preserve">A structured baseline of the capabilities that determine how safely an organization can migrate incrementally toward zero trust. Run it before a major migration wave, and again after material change.</t>
  </si>
  <si>
    <t xml:space="preserve">Sheets</t>
  </si>
  <si>
    <t xml:space="preserve">Scorecard      The working sheet. Shaded cells are yours to complete.</t>
  </si>
  <si>
    <t xml:space="preserve">Sample         A fully worked example for a county IT organization.</t>
  </si>
  <si>
    <t xml:space="preserve">Scoring scale  What each score from 0 to 5 means.</t>
  </si>
  <si>
    <t xml:space="preserve">How to use it</t>
  </si>
  <si>
    <t xml:space="preserve">1. Score Current honestly. A low score is useful information, not a failure.</t>
  </si>
  <si>
    <t xml:space="preserve">2. Set Target for where the domain needs to be before the next wave, not an end state.</t>
  </si>
  <si>
    <t xml:space="preserve">3. Record the evidence you looked at. This is what makes the score defensible later.</t>
  </si>
  <si>
    <t xml:space="preserve">4. Work the 0s and 1s first. They are where transition risk concentrates.</t>
  </si>
  <si>
    <t xml:space="preserve">Notes</t>
  </si>
  <si>
    <t xml:space="preserve">The Gap column calculates itself. Everything else is manual.</t>
  </si>
  <si>
    <t xml:space="preserve">This is a planning aid, not a compliance determination or an audit result.</t>
  </si>
  <si>
    <t xml:space="preserve">Sample values are constructed for illustration and are not from a real organization.</t>
  </si>
  <si>
    <t xml:space="preserve">Score each domain 0-5 for today (Current) and for where it needs to be before the next migration wave (Target). Shaded cells are for you to complete.</t>
  </si>
  <si>
    <t xml:space="preserve">Domain</t>
  </si>
  <si>
    <t xml:space="preserve">Current</t>
  </si>
  <si>
    <t xml:space="preserve">Target</t>
  </si>
  <si>
    <t xml:space="preserve">Gap</t>
  </si>
  <si>
    <t xml:space="preserve">Evidence reviewed</t>
  </si>
  <si>
    <t xml:space="preserve">Observed gap</t>
  </si>
  <si>
    <t xml:space="preserve">Priority</t>
  </si>
  <si>
    <t xml:space="preserve">Action</t>
  </si>
  <si>
    <t xml:space="preserve">Owner</t>
  </si>
  <si>
    <t xml:space="preserve">Asset inventory</t>
  </si>
  <si>
    <t xml:space="preserve">CMDB export 08-Mar; Lansweeper scan 11-Mar</t>
  </si>
  <si>
    <t xml:space="preserve">Scan found 94 devices absent from the CMDB, mostly at the two annex sites.</t>
  </si>
  <si>
    <t xml:space="preserve">High</t>
  </si>
  <si>
    <t xml:space="preserve">Reconcile CMDB against discovery scan before wave 1</t>
  </si>
  <si>
    <t xml:space="preserve">D. Whitfield</t>
  </si>
  <si>
    <t xml:space="preserve">&lt;- example row; overwrite or delete</t>
  </si>
  <si>
    <t xml:space="preserve">Identity readiness</t>
  </si>
  <si>
    <t xml:space="preserve">Privileged access governance</t>
  </si>
  <si>
    <t xml:space="preserve">Endpoint visibility</t>
  </si>
  <si>
    <t xml:space="preserve">Network segmentation readiness</t>
  </si>
  <si>
    <t xml:space="preserve">Logging and monitoring</t>
  </si>
  <si>
    <t xml:space="preserve">Data sensitivity awareness</t>
  </si>
  <si>
    <t xml:space="preserve">Backup and disaster recovery</t>
  </si>
  <si>
    <t xml:space="preserve">Application dependency visibility</t>
  </si>
  <si>
    <t xml:space="preserve">Documentation maturity</t>
  </si>
  <si>
    <t xml:space="preserve">Internal team readiness</t>
  </si>
  <si>
    <t xml:space="preserve">Exception governance</t>
  </si>
  <si>
    <t xml:space="preserve">Summary</t>
  </si>
  <si>
    <t xml:space="preserve">Domains scored</t>
  </si>
  <si>
    <t xml:space="preserve">Average current score</t>
  </si>
  <si>
    <t xml:space="preserve">Average target score</t>
  </si>
  <si>
    <t xml:space="preserve">Domains at 0 or 1 (address first)</t>
  </si>
  <si>
    <t xml:space="preserve">Domains already at target</t>
  </si>
  <si>
    <t xml:space="preserve">Scores are a planning aid, not an audit result. Record the evidence you relied on so a later reviewer can see what the score was based on.</t>
  </si>
  <si>
    <t xml:space="preserve">Sample: county government, baseline before wave 1</t>
  </si>
  <si>
    <t xml:space="preserve">Illustrative values for a 1,200-staff county IT organization. Figures are constructed for demonstration and are not results from a real organization.</t>
  </si>
  <si>
    <t xml:space="preserve">Entra ID tenant review; app inventory</t>
  </si>
  <si>
    <t xml:space="preserve">Eleven line-of-business apps still authenticate against the legacy directory.</t>
  </si>
  <si>
    <t xml:space="preserve">Sequence SSO migration for the eleven apps</t>
  </si>
  <si>
    <t xml:space="preserve">R. Okonkwo</t>
  </si>
  <si>
    <t xml:space="preserve">Admin group export 05-Mar</t>
  </si>
  <si>
    <t xml:space="preserve">Six standing domain admin accounts; no periodic review has been run.</t>
  </si>
  <si>
    <t xml:space="preserve">Critical</t>
  </si>
  <si>
    <t xml:space="preserve">Stand up quarterly access review; move to just-in-time elevation</t>
  </si>
  <si>
    <t xml:space="preserve">EDR console coverage report</t>
  </si>
  <si>
    <t xml:space="preserve">EDR covers laptops and desktops; not deployed to the 40 kiosk units.</t>
  </si>
  <si>
    <t xml:space="preserve">Medium</t>
  </si>
  <si>
    <t xml:space="preserve">Extend EDR to kiosks or place them in a restricted segment</t>
  </si>
  <si>
    <t xml:space="preserve">T. Alvarado</t>
  </si>
  <si>
    <t xml:space="preserve">Firewall ruleset export; no flow data</t>
  </si>
  <si>
    <t xml:space="preserve">Flat internal network. East-west traffic is not mapped or restricted.</t>
  </si>
  <si>
    <t xml:space="preserve">Complete flow discovery before any enforcement change</t>
  </si>
  <si>
    <t xml:space="preserve">SIEM source inventory 12-Mar</t>
  </si>
  <si>
    <t xml:space="preserve">Cloud control-plane logs are not forwarded to the SIEM.</t>
  </si>
  <si>
    <t xml:space="preserve">Onboard cloud audit logs ahead of cutover</t>
  </si>
  <si>
    <t xml:space="preserve">S. Behrendt</t>
  </si>
  <si>
    <t xml:space="preserve">Records retention schedule (2019)</t>
  </si>
  <si>
    <t xml:space="preserve">Classification policy exists but is not applied to the migrating workloads.</t>
  </si>
  <si>
    <t xml:space="preserve">Tag in-scope workloads using the existing approved scheme</t>
  </si>
  <si>
    <t xml:space="preserve">M. Iyer</t>
  </si>
  <si>
    <t xml:space="preserve">Veeam job report; no restore test on file</t>
  </si>
  <si>
    <t xml:space="preserve">Backups run nightly. The last documented restore test was in 2023.</t>
  </si>
  <si>
    <t xml:space="preserve">Perform and document a restore test for each wave-1 workload</t>
  </si>
  <si>
    <t xml:space="preserve">Interviews with app owners</t>
  </si>
  <si>
    <t xml:space="preserve">Dependencies are held informally. The permits system has undocumented callers.</t>
  </si>
  <si>
    <t xml:space="preserve">Map dependencies for wave-1 and wave-2 workloads</t>
  </si>
  <si>
    <t xml:space="preserve">SharePoint architecture folder</t>
  </si>
  <si>
    <t xml:space="preserve">Diagrams are two refresh cycles out of date; runbooks cover three systems only.</t>
  </si>
  <si>
    <t xml:space="preserve">Refresh diagrams as each wave completes</t>
  </si>
  <si>
    <t xml:space="preserve">Team skills matrix 14-Mar</t>
  </si>
  <si>
    <t xml:space="preserve">Two staff hold cloud certifications. Neither has run a production cutover.</t>
  </si>
  <si>
    <t xml:space="preserve">Shadowing plan plus one supervised task per engineer</t>
  </si>
  <si>
    <t xml:space="preserve">None located</t>
  </si>
  <si>
    <t xml:space="preserve">No register exists. Temporary firewall rules are tracked in email threads.</t>
  </si>
  <si>
    <t xml:space="preserve">Stand up the transition-state risk register in week 2</t>
  </si>
  <si>
    <t xml:space="preserve">Critical priority actions</t>
  </si>
  <si>
    <t xml:space="preserve">Scoring scale</t>
  </si>
  <si>
    <t xml:space="preserve">Score</t>
  </si>
  <si>
    <t xml:space="preserve">Meaning</t>
  </si>
  <si>
    <t xml:space="preserve">Unknown or undocumented</t>
  </si>
  <si>
    <t xml:space="preserve">Informal / ad hoc</t>
  </si>
  <si>
    <t xml:space="preserve">Partially documented</t>
  </si>
  <si>
    <t xml:space="preserve">Controlled but not repeatable</t>
  </si>
  <si>
    <t xml:space="preserve">Repeatable and reviewed</t>
  </si>
  <si>
    <t xml:space="preserve">Automated, monitored, and continuously improved</t>
  </si>
  <si>
    <t xml:space="preserve">A score of 3 means the control works but is not yet consistent run to run. Most organizations mid-migration sit between 1 and 3.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</si>
</sst>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403C"/>
        <bgColor rgb="FF333300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0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6.15" hidden="false" customHeight="false" outlineLevel="0" collapsed="false">
      <c r="A1" s="1" t="s">
        <v>0</v>
      </c>
    </row>
    <row r="3" customFormat="false" ht="13.5" hidden="false" customHeight="true" outlineLevel="0" collapsed="false">
      <c r="A3" s="2" t="s">
        <v>1</v>
      </c>
    </row>
    <row r="4" customFormat="false" ht="13.5" hidden="false" customHeight="true" outlineLevel="0" collapsed="false">
      <c r="A4" s="3"/>
    </row>
    <row r="5" customFormat="false" ht="13.5" hidden="false" customHeight="true" outlineLevel="0" collapsed="false">
      <c r="A5" s="4" t="s">
        <v>2</v>
      </c>
    </row>
    <row r="6" customFormat="false" ht="25.5" hidden="false" customHeight="true" outlineLevel="0" collapsed="false">
      <c r="A6" s="3" t="s">
        <v>3</v>
      </c>
    </row>
    <row r="7" customFormat="false" ht="13.5" hidden="false" customHeight="true" outlineLevel="0" collapsed="false">
      <c r="A7" s="3"/>
    </row>
    <row r="8" customFormat="false" ht="13.5" hidden="false" customHeight="true" outlineLevel="0" collapsed="false">
      <c r="A8" s="4" t="s">
        <v>4</v>
      </c>
    </row>
    <row r="9" customFormat="false" ht="13.5" hidden="false" customHeight="true" outlineLevel="0" collapsed="false">
      <c r="A9" s="3" t="s">
        <v>5</v>
      </c>
    </row>
    <row r="10" customFormat="false" ht="13.5" hidden="false" customHeight="true" outlineLevel="0" collapsed="false">
      <c r="A10" s="3" t="s">
        <v>6</v>
      </c>
    </row>
    <row r="11" customFormat="false" ht="13.5" hidden="false" customHeight="true" outlineLevel="0" collapsed="false">
      <c r="A11" s="3" t="s">
        <v>7</v>
      </c>
    </row>
    <row r="12" customFormat="false" ht="13.5" hidden="false" customHeight="true" outlineLevel="0" collapsed="false">
      <c r="A12" s="3"/>
    </row>
    <row r="13" customFormat="false" ht="13.5" hidden="false" customHeight="true" outlineLevel="0" collapsed="false">
      <c r="A13" s="4" t="s">
        <v>8</v>
      </c>
    </row>
    <row r="14" customFormat="false" ht="13.5" hidden="false" customHeight="true" outlineLevel="0" collapsed="false">
      <c r="A14" s="3" t="s">
        <v>9</v>
      </c>
    </row>
    <row r="15" customFormat="false" ht="13.5" hidden="false" customHeight="true" outlineLevel="0" collapsed="false">
      <c r="A15" s="3" t="s">
        <v>10</v>
      </c>
    </row>
    <row r="16" customFormat="false" ht="13.5" hidden="false" customHeight="true" outlineLevel="0" collapsed="false">
      <c r="A16" s="3" t="s">
        <v>11</v>
      </c>
    </row>
    <row r="17" customFormat="false" ht="13.5" hidden="false" customHeight="true" outlineLevel="0" collapsed="false">
      <c r="A17" s="3" t="s">
        <v>12</v>
      </c>
    </row>
    <row r="18" customFormat="false" ht="13.5" hidden="false" customHeight="true" outlineLevel="0" collapsed="false">
      <c r="A18" s="3"/>
    </row>
    <row r="19" customFormat="false" ht="13.5" hidden="false" customHeight="true" outlineLevel="0" collapsed="false">
      <c r="A19" s="4" t="s">
        <v>13</v>
      </c>
    </row>
    <row r="20" customFormat="false" ht="13.5" hidden="false" customHeight="true" outlineLevel="0" collapsed="false">
      <c r="A20" s="2" t="s">
        <v>14</v>
      </c>
    </row>
    <row r="21" customFormat="false" ht="13.5" hidden="false" customHeight="true" outlineLevel="0" collapsed="false">
      <c r="A21" s="2" t="s">
        <v>15</v>
      </c>
    </row>
    <row r="22" customFormat="false" ht="13.5" hidden="false" customHeight="true" outlineLevel="0" collapsed="false">
      <c r="A22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11"/>
    <col collapsed="false" customWidth="true" hidden="false" outlineLevel="0" max="8" min="8" style="0" width="42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5" t="s">
        <v>17</v>
      </c>
    </row>
    <row r="4" customFormat="false" ht="30" hidden="false" customHeight="tru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</row>
    <row r="5" customFormat="false" ht="23.85" hidden="false" customHeight="false" outlineLevel="0" collapsed="false">
      <c r="A5" s="7" t="s">
        <v>27</v>
      </c>
      <c r="B5" s="8" t="n">
        <v>2</v>
      </c>
      <c r="C5" s="8" t="n">
        <v>4</v>
      </c>
      <c r="D5" s="9" t="n">
        <f aca="false">IF(OR(B5="",C5=""),"",C5-B5)</f>
        <v>2</v>
      </c>
      <c r="E5" s="10" t="s">
        <v>28</v>
      </c>
      <c r="F5" s="10" t="s">
        <v>29</v>
      </c>
      <c r="G5" s="10" t="s">
        <v>30</v>
      </c>
      <c r="H5" s="10" t="s">
        <v>31</v>
      </c>
      <c r="I5" s="10" t="s">
        <v>32</v>
      </c>
      <c r="J5" s="5" t="s">
        <v>33</v>
      </c>
    </row>
    <row r="6" customFormat="false" ht="15" hidden="false" customHeight="false" outlineLevel="0" collapsed="false">
      <c r="A6" s="7" t="s">
        <v>34</v>
      </c>
      <c r="B6" s="8"/>
      <c r="C6" s="8"/>
      <c r="D6" s="9" t="str">
        <f aca="false">IF(OR(B6="",C6=""),"",C6-B6)</f>
        <v/>
      </c>
      <c r="E6" s="10"/>
      <c r="F6" s="10"/>
      <c r="G6" s="10"/>
      <c r="H6" s="10"/>
      <c r="I6" s="10"/>
    </row>
    <row r="7" customFormat="false" ht="15" hidden="false" customHeight="false" outlineLevel="0" collapsed="false">
      <c r="A7" s="7" t="s">
        <v>35</v>
      </c>
      <c r="B7" s="8"/>
      <c r="C7" s="8"/>
      <c r="D7" s="9" t="str">
        <f aca="false">IF(OR(B7="",C7=""),"",C7-B7)</f>
        <v/>
      </c>
      <c r="E7" s="10"/>
      <c r="F7" s="10"/>
      <c r="G7" s="10"/>
      <c r="H7" s="10"/>
      <c r="I7" s="10"/>
    </row>
    <row r="8" customFormat="false" ht="15" hidden="false" customHeight="false" outlineLevel="0" collapsed="false">
      <c r="A8" s="7" t="s">
        <v>36</v>
      </c>
      <c r="B8" s="8"/>
      <c r="C8" s="8"/>
      <c r="D8" s="9" t="str">
        <f aca="false">IF(OR(B8="",C8=""),"",C8-B8)</f>
        <v/>
      </c>
      <c r="E8" s="10"/>
      <c r="F8" s="10"/>
      <c r="G8" s="10"/>
      <c r="H8" s="10"/>
      <c r="I8" s="10"/>
    </row>
    <row r="9" customFormat="false" ht="15" hidden="false" customHeight="false" outlineLevel="0" collapsed="false">
      <c r="A9" s="7" t="s">
        <v>37</v>
      </c>
      <c r="B9" s="8"/>
      <c r="C9" s="8"/>
      <c r="D9" s="9" t="str">
        <f aca="false">IF(OR(B9="",C9=""),"",C9-B9)</f>
        <v/>
      </c>
      <c r="E9" s="10"/>
      <c r="F9" s="10"/>
      <c r="G9" s="10"/>
      <c r="H9" s="10"/>
      <c r="I9" s="10"/>
    </row>
    <row r="10" customFormat="false" ht="15" hidden="false" customHeight="false" outlineLevel="0" collapsed="false">
      <c r="A10" s="7" t="s">
        <v>38</v>
      </c>
      <c r="B10" s="8"/>
      <c r="C10" s="8"/>
      <c r="D10" s="9" t="str">
        <f aca="false">IF(OR(B10="",C10=""),"",C10-B10)</f>
        <v/>
      </c>
      <c r="E10" s="10"/>
      <c r="F10" s="10"/>
      <c r="G10" s="10"/>
      <c r="H10" s="10"/>
      <c r="I10" s="10"/>
    </row>
    <row r="11" customFormat="false" ht="15" hidden="false" customHeight="false" outlineLevel="0" collapsed="false">
      <c r="A11" s="7" t="s">
        <v>39</v>
      </c>
      <c r="B11" s="8"/>
      <c r="C11" s="8"/>
      <c r="D11" s="9" t="str">
        <f aca="false">IF(OR(B11="",C11=""),"",C11-B11)</f>
        <v/>
      </c>
      <c r="E11" s="10"/>
      <c r="F11" s="10"/>
      <c r="G11" s="10"/>
      <c r="H11" s="10"/>
      <c r="I11" s="10"/>
    </row>
    <row r="12" customFormat="false" ht="15" hidden="false" customHeight="false" outlineLevel="0" collapsed="false">
      <c r="A12" s="7" t="s">
        <v>40</v>
      </c>
      <c r="B12" s="8"/>
      <c r="C12" s="8"/>
      <c r="D12" s="9" t="str">
        <f aca="false">IF(OR(B12="",C12=""),"",C12-B12)</f>
        <v/>
      </c>
      <c r="E12" s="10"/>
      <c r="F12" s="10"/>
      <c r="G12" s="10"/>
      <c r="H12" s="10"/>
      <c r="I12" s="10"/>
    </row>
    <row r="13" customFormat="false" ht="15" hidden="false" customHeight="false" outlineLevel="0" collapsed="false">
      <c r="A13" s="7" t="s">
        <v>41</v>
      </c>
      <c r="B13" s="8"/>
      <c r="C13" s="8"/>
      <c r="D13" s="9" t="str">
        <f aca="false">IF(OR(B13="",C13=""),"",C13-B13)</f>
        <v/>
      </c>
      <c r="E13" s="10"/>
      <c r="F13" s="10"/>
      <c r="G13" s="10"/>
      <c r="H13" s="10"/>
      <c r="I13" s="10"/>
    </row>
    <row r="14" customFormat="false" ht="15" hidden="false" customHeight="false" outlineLevel="0" collapsed="false">
      <c r="A14" s="7" t="s">
        <v>42</v>
      </c>
      <c r="B14" s="8"/>
      <c r="C14" s="8"/>
      <c r="D14" s="9" t="str">
        <f aca="false">IF(OR(B14="",C14=""),"",C14-B14)</f>
        <v/>
      </c>
      <c r="E14" s="10"/>
      <c r="F14" s="10"/>
      <c r="G14" s="10"/>
      <c r="H14" s="10"/>
      <c r="I14" s="10"/>
    </row>
    <row r="15" customFormat="false" ht="15" hidden="false" customHeight="false" outlineLevel="0" collapsed="false">
      <c r="A15" s="7" t="s">
        <v>43</v>
      </c>
      <c r="B15" s="8"/>
      <c r="C15" s="8"/>
      <c r="D15" s="9" t="str">
        <f aca="false">IF(OR(B15="",C15=""),"",C15-B15)</f>
        <v/>
      </c>
      <c r="E15" s="10"/>
      <c r="F15" s="10"/>
      <c r="G15" s="10"/>
      <c r="H15" s="10"/>
      <c r="I15" s="10"/>
    </row>
    <row r="16" customFormat="false" ht="15" hidden="false" customHeight="false" outlineLevel="0" collapsed="false">
      <c r="A16" s="7" t="s">
        <v>44</v>
      </c>
      <c r="B16" s="8"/>
      <c r="C16" s="8"/>
      <c r="D16" s="9" t="str">
        <f aca="false">IF(OR(B16="",C16=""),"",C16-B16)</f>
        <v/>
      </c>
      <c r="E16" s="10"/>
      <c r="F16" s="10"/>
      <c r="G16" s="10"/>
      <c r="H16" s="10"/>
      <c r="I16" s="10"/>
    </row>
    <row r="18" customFormat="false" ht="15" hidden="false" customHeight="false" outlineLevel="0" collapsed="false">
      <c r="A18" s="11" t="s">
        <v>45</v>
      </c>
    </row>
    <row r="19" customFormat="false" ht="15" hidden="false" customHeight="false" outlineLevel="0" collapsed="false">
      <c r="A19" s="12" t="s">
        <v>46</v>
      </c>
      <c r="B19" s="13" t="n">
        <f aca="false">COUNT(B5:B16)</f>
        <v>1</v>
      </c>
    </row>
    <row r="20" customFormat="false" ht="15" hidden="false" customHeight="false" outlineLevel="0" collapsed="false">
      <c r="A20" s="12" t="s">
        <v>47</v>
      </c>
      <c r="B20" s="13" t="n">
        <f aca="false">IFERROR(ROUND(AVERAGE(B5:B16),1),"")</f>
        <v>2</v>
      </c>
    </row>
    <row r="21" customFormat="false" ht="15" hidden="false" customHeight="false" outlineLevel="0" collapsed="false">
      <c r="A21" s="12" t="s">
        <v>48</v>
      </c>
      <c r="B21" s="13" t="n">
        <f aca="false">IFERROR(ROUND(AVERAGE(C5:C16),1),"")</f>
        <v>4</v>
      </c>
    </row>
    <row r="22" customFormat="false" ht="15" hidden="false" customHeight="false" outlineLevel="0" collapsed="false">
      <c r="A22" s="12" t="s">
        <v>49</v>
      </c>
      <c r="B22" s="13" t="n">
        <f aca="false">COUNTIFS(B5:B16,"&lt;=1")</f>
        <v>0</v>
      </c>
    </row>
    <row r="23" customFormat="false" ht="15" hidden="false" customHeight="false" outlineLevel="0" collapsed="false">
      <c r="A23" s="12" t="s">
        <v>50</v>
      </c>
      <c r="B23" s="13" t="n">
        <f aca="false">COUNTIFS(D5:D16,"&lt;=0")</f>
        <v>0</v>
      </c>
    </row>
    <row r="25" customFormat="false" ht="15" hidden="false" customHeight="false" outlineLevel="0" collapsed="false">
      <c r="A25" s="5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11"/>
    <col collapsed="false" customWidth="true" hidden="false" outlineLevel="0" max="8" min="8" style="0" width="42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5" t="s">
        <v>53</v>
      </c>
    </row>
    <row r="4" customFormat="false" ht="30" hidden="false" customHeight="tru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</row>
    <row r="5" customFormat="false" ht="23.85" hidden="false" customHeight="false" outlineLevel="0" collapsed="false">
      <c r="A5" s="7" t="s">
        <v>27</v>
      </c>
      <c r="B5" s="9" t="n">
        <v>2</v>
      </c>
      <c r="C5" s="9" t="n">
        <v>4</v>
      </c>
      <c r="D5" s="9" t="n">
        <f aca="false">C5-B5</f>
        <v>2</v>
      </c>
      <c r="E5" s="7" t="s">
        <v>28</v>
      </c>
      <c r="F5" s="7" t="s">
        <v>29</v>
      </c>
      <c r="G5" s="9" t="s">
        <v>30</v>
      </c>
      <c r="H5" s="7" t="s">
        <v>31</v>
      </c>
      <c r="I5" s="7" t="s">
        <v>32</v>
      </c>
    </row>
    <row r="6" customFormat="false" ht="23.85" hidden="false" customHeight="false" outlineLevel="0" collapsed="false">
      <c r="A6" s="7" t="s">
        <v>34</v>
      </c>
      <c r="B6" s="9" t="n">
        <v>3</v>
      </c>
      <c r="C6" s="9" t="n">
        <v>4</v>
      </c>
      <c r="D6" s="9" t="n">
        <f aca="false">C6-B6</f>
        <v>1</v>
      </c>
      <c r="E6" s="7" t="s">
        <v>54</v>
      </c>
      <c r="F6" s="7" t="s">
        <v>55</v>
      </c>
      <c r="G6" s="9" t="s">
        <v>30</v>
      </c>
      <c r="H6" s="7" t="s">
        <v>56</v>
      </c>
      <c r="I6" s="7" t="s">
        <v>57</v>
      </c>
    </row>
    <row r="7" customFormat="false" ht="23.85" hidden="false" customHeight="false" outlineLevel="0" collapsed="false">
      <c r="A7" s="7" t="s">
        <v>35</v>
      </c>
      <c r="B7" s="9" t="n">
        <v>2</v>
      </c>
      <c r="C7" s="9" t="n">
        <v>4</v>
      </c>
      <c r="D7" s="9" t="n">
        <f aca="false">C7-B7</f>
        <v>2</v>
      </c>
      <c r="E7" s="7" t="s">
        <v>58</v>
      </c>
      <c r="F7" s="7" t="s">
        <v>59</v>
      </c>
      <c r="G7" s="9" t="s">
        <v>60</v>
      </c>
      <c r="H7" s="7" t="s">
        <v>61</v>
      </c>
      <c r="I7" s="7" t="s">
        <v>57</v>
      </c>
    </row>
    <row r="8" customFormat="false" ht="23.85" hidden="false" customHeight="false" outlineLevel="0" collapsed="false">
      <c r="A8" s="7" t="s">
        <v>36</v>
      </c>
      <c r="B8" s="9" t="n">
        <v>3</v>
      </c>
      <c r="C8" s="9" t="n">
        <v>4</v>
      </c>
      <c r="D8" s="9" t="n">
        <f aca="false">C8-B8</f>
        <v>1</v>
      </c>
      <c r="E8" s="7" t="s">
        <v>62</v>
      </c>
      <c r="F8" s="7" t="s">
        <v>63</v>
      </c>
      <c r="G8" s="9" t="s">
        <v>64</v>
      </c>
      <c r="H8" s="7" t="s">
        <v>65</v>
      </c>
      <c r="I8" s="7" t="s">
        <v>66</v>
      </c>
    </row>
    <row r="9" customFormat="false" ht="23.85" hidden="false" customHeight="false" outlineLevel="0" collapsed="false">
      <c r="A9" s="7" t="s">
        <v>37</v>
      </c>
      <c r="B9" s="9" t="n">
        <v>1</v>
      </c>
      <c r="C9" s="9" t="n">
        <v>3</v>
      </c>
      <c r="D9" s="9" t="n">
        <f aca="false">C9-B9</f>
        <v>2</v>
      </c>
      <c r="E9" s="7" t="s">
        <v>67</v>
      </c>
      <c r="F9" s="7" t="s">
        <v>68</v>
      </c>
      <c r="G9" s="9" t="s">
        <v>60</v>
      </c>
      <c r="H9" s="7" t="s">
        <v>69</v>
      </c>
      <c r="I9" s="7" t="s">
        <v>66</v>
      </c>
    </row>
    <row r="10" customFormat="false" ht="23.85" hidden="false" customHeight="false" outlineLevel="0" collapsed="false">
      <c r="A10" s="7" t="s">
        <v>38</v>
      </c>
      <c r="B10" s="9" t="n">
        <v>3</v>
      </c>
      <c r="C10" s="9" t="n">
        <v>4</v>
      </c>
      <c r="D10" s="9" t="n">
        <f aca="false">C10-B10</f>
        <v>1</v>
      </c>
      <c r="E10" s="7" t="s">
        <v>70</v>
      </c>
      <c r="F10" s="7" t="s">
        <v>71</v>
      </c>
      <c r="G10" s="9" t="s">
        <v>30</v>
      </c>
      <c r="H10" s="7" t="s">
        <v>72</v>
      </c>
      <c r="I10" s="7" t="s">
        <v>73</v>
      </c>
    </row>
    <row r="11" customFormat="false" ht="23.85" hidden="false" customHeight="false" outlineLevel="0" collapsed="false">
      <c r="A11" s="7" t="s">
        <v>39</v>
      </c>
      <c r="B11" s="9" t="n">
        <v>2</v>
      </c>
      <c r="C11" s="9" t="n">
        <v>3</v>
      </c>
      <c r="D11" s="9" t="n">
        <f aca="false">C11-B11</f>
        <v>1</v>
      </c>
      <c r="E11" s="7" t="s">
        <v>74</v>
      </c>
      <c r="F11" s="7" t="s">
        <v>75</v>
      </c>
      <c r="G11" s="9" t="s">
        <v>64</v>
      </c>
      <c r="H11" s="7" t="s">
        <v>76</v>
      </c>
      <c r="I11" s="7" t="s">
        <v>77</v>
      </c>
    </row>
    <row r="12" customFormat="false" ht="23.85" hidden="false" customHeight="false" outlineLevel="0" collapsed="false">
      <c r="A12" s="7" t="s">
        <v>40</v>
      </c>
      <c r="B12" s="9" t="n">
        <v>2</v>
      </c>
      <c r="C12" s="9" t="n">
        <v>4</v>
      </c>
      <c r="D12" s="9" t="n">
        <f aca="false">C12-B12</f>
        <v>2</v>
      </c>
      <c r="E12" s="7" t="s">
        <v>78</v>
      </c>
      <c r="F12" s="7" t="s">
        <v>79</v>
      </c>
      <c r="G12" s="9" t="s">
        <v>30</v>
      </c>
      <c r="H12" s="7" t="s">
        <v>80</v>
      </c>
      <c r="I12" s="7" t="s">
        <v>73</v>
      </c>
    </row>
    <row r="13" customFormat="false" ht="23.85" hidden="false" customHeight="false" outlineLevel="0" collapsed="false">
      <c r="A13" s="7" t="s">
        <v>41</v>
      </c>
      <c r="B13" s="9" t="n">
        <v>1</v>
      </c>
      <c r="C13" s="9" t="n">
        <v>4</v>
      </c>
      <c r="D13" s="9" t="n">
        <f aca="false">C13-B13</f>
        <v>3</v>
      </c>
      <c r="E13" s="7" t="s">
        <v>81</v>
      </c>
      <c r="F13" s="7" t="s">
        <v>82</v>
      </c>
      <c r="G13" s="9" t="s">
        <v>60</v>
      </c>
      <c r="H13" s="7" t="s">
        <v>83</v>
      </c>
      <c r="I13" s="7" t="s">
        <v>32</v>
      </c>
    </row>
    <row r="14" customFormat="false" ht="23.85" hidden="false" customHeight="false" outlineLevel="0" collapsed="false">
      <c r="A14" s="7" t="s">
        <v>42</v>
      </c>
      <c r="B14" s="9" t="n">
        <v>1</v>
      </c>
      <c r="C14" s="9" t="n">
        <v>3</v>
      </c>
      <c r="D14" s="9" t="n">
        <f aca="false">C14-B14</f>
        <v>2</v>
      </c>
      <c r="E14" s="7" t="s">
        <v>84</v>
      </c>
      <c r="F14" s="7" t="s">
        <v>85</v>
      </c>
      <c r="G14" s="9" t="s">
        <v>64</v>
      </c>
      <c r="H14" s="7" t="s">
        <v>86</v>
      </c>
      <c r="I14" s="7" t="s">
        <v>77</v>
      </c>
    </row>
    <row r="15" customFormat="false" ht="23.85" hidden="false" customHeight="false" outlineLevel="0" collapsed="false">
      <c r="A15" s="7" t="s">
        <v>43</v>
      </c>
      <c r="B15" s="9" t="n">
        <v>2</v>
      </c>
      <c r="C15" s="9" t="n">
        <v>4</v>
      </c>
      <c r="D15" s="9" t="n">
        <f aca="false">C15-B15</f>
        <v>2</v>
      </c>
      <c r="E15" s="7" t="s">
        <v>87</v>
      </c>
      <c r="F15" s="7" t="s">
        <v>88</v>
      </c>
      <c r="G15" s="9" t="s">
        <v>30</v>
      </c>
      <c r="H15" s="7" t="s">
        <v>89</v>
      </c>
      <c r="I15" s="7" t="s">
        <v>32</v>
      </c>
    </row>
    <row r="16" customFormat="false" ht="23.85" hidden="false" customHeight="false" outlineLevel="0" collapsed="false">
      <c r="A16" s="7" t="s">
        <v>44</v>
      </c>
      <c r="B16" s="9" t="n">
        <v>0</v>
      </c>
      <c r="C16" s="9" t="n">
        <v>4</v>
      </c>
      <c r="D16" s="9" t="n">
        <f aca="false">C16-B16</f>
        <v>4</v>
      </c>
      <c r="E16" s="7" t="s">
        <v>90</v>
      </c>
      <c r="F16" s="7" t="s">
        <v>91</v>
      </c>
      <c r="G16" s="9" t="s">
        <v>60</v>
      </c>
      <c r="H16" s="7" t="s">
        <v>92</v>
      </c>
      <c r="I16" s="7" t="s">
        <v>57</v>
      </c>
    </row>
    <row r="18" customFormat="false" ht="15" hidden="false" customHeight="false" outlineLevel="0" collapsed="false">
      <c r="A18" s="11" t="s">
        <v>45</v>
      </c>
    </row>
    <row r="19" customFormat="false" ht="15" hidden="false" customHeight="false" outlineLevel="0" collapsed="false">
      <c r="A19" s="12" t="s">
        <v>46</v>
      </c>
      <c r="B19" s="13" t="n">
        <f aca="false">COUNT(B5:B16)</f>
        <v>12</v>
      </c>
    </row>
    <row r="20" customFormat="false" ht="15" hidden="false" customHeight="false" outlineLevel="0" collapsed="false">
      <c r="A20" s="12" t="s">
        <v>47</v>
      </c>
      <c r="B20" s="13" t="n">
        <f aca="false">ROUND(AVERAGE(B5:B16),1)</f>
        <v>1.8</v>
      </c>
    </row>
    <row r="21" customFormat="false" ht="15" hidden="false" customHeight="false" outlineLevel="0" collapsed="false">
      <c r="A21" s="12" t="s">
        <v>48</v>
      </c>
      <c r="B21" s="13" t="n">
        <f aca="false">ROUND(AVERAGE(C5:C16),1)</f>
        <v>3.8</v>
      </c>
    </row>
    <row r="22" customFormat="false" ht="15" hidden="false" customHeight="false" outlineLevel="0" collapsed="false">
      <c r="A22" s="12" t="s">
        <v>49</v>
      </c>
      <c r="B22" s="13" t="n">
        <f aca="false">COUNTIFS(B5:B16,"&lt;=1")</f>
        <v>4</v>
      </c>
    </row>
    <row r="23" customFormat="false" ht="15" hidden="false" customHeight="false" outlineLevel="0" collapsed="false">
      <c r="A23" s="12" t="s">
        <v>93</v>
      </c>
      <c r="B23" s="13" t="n">
        <f aca="false">COUNTIF(G5:G16,"Critical")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1" t="s">
        <v>94</v>
      </c>
    </row>
    <row r="3" customFormat="false" ht="30" hidden="false" customHeight="true" outlineLevel="0" collapsed="false">
      <c r="A3" s="6" t="s">
        <v>95</v>
      </c>
      <c r="B3" s="6" t="s">
        <v>96</v>
      </c>
    </row>
    <row r="4" customFormat="false" ht="15" hidden="false" customHeight="false" outlineLevel="0" collapsed="false">
      <c r="A4" s="9" t="n">
        <v>0</v>
      </c>
      <c r="B4" s="7" t="s">
        <v>97</v>
      </c>
    </row>
    <row r="5" customFormat="false" ht="15" hidden="false" customHeight="false" outlineLevel="0" collapsed="false">
      <c r="A5" s="9" t="n">
        <v>1</v>
      </c>
      <c r="B5" s="7" t="s">
        <v>98</v>
      </c>
    </row>
    <row r="6" customFormat="false" ht="15" hidden="false" customHeight="false" outlineLevel="0" collapsed="false">
      <c r="A6" s="9" t="n">
        <v>2</v>
      </c>
      <c r="B6" s="7" t="s">
        <v>99</v>
      </c>
    </row>
    <row r="7" customFormat="false" ht="15" hidden="false" customHeight="false" outlineLevel="0" collapsed="false">
      <c r="A7" s="9" t="n">
        <v>3</v>
      </c>
      <c r="B7" s="7" t="s">
        <v>100</v>
      </c>
    </row>
    <row r="8" customFormat="false" ht="15" hidden="false" customHeight="false" outlineLevel="0" collapsed="false">
      <c r="A8" s="9" t="n">
        <v>4</v>
      </c>
      <c r="B8" s="7" t="s">
        <v>101</v>
      </c>
    </row>
    <row r="9" customFormat="false" ht="15" hidden="false" customHeight="false" outlineLevel="0" collapsed="false">
      <c r="A9" s="9" t="n">
        <v>5</v>
      </c>
      <c r="B9" s="7" t="s">
        <v>102</v>
      </c>
    </row>
    <row r="11" customFormat="false" ht="15" hidden="false" customHeight="false" outlineLevel="0" collapsed="false">
      <c r="A11" s="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2026-09-14T07:10:48Z</dcterms:created>
  <dc:creator>openpyxl</dc:creator>
  <dc:description/>
  <dc:language>en-US</dc:language>
  <cp:lastModifiedBy/>
  <dcterms:modified xsi:type="dcterms:W3CDTF">2026-09-14T07:10:48Z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